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xfId="0"/>
    <xf numFmtId="166" xfId="0" applyNumberFormat="1"/>
    <xf numFmtId="167" xfId="0" applyNumberFormat="1"/>
    <xf numFmtId="168" xfId="0" applyNumberFormat="1"/>
    <xf numFmtId="169" xfId="0" applyNumberFormat="1"/>
    <xf xfId="0" fontId="1"/>
    <xf xfId="1" fontId="2"/>
  </cellXfs>
  <cellStyles count="2">
    <cellStyle name="Hyperlink" builtinId="8" xfId="1"/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 s="5">
        <is>
          <t>accountcategorycode</t>
        </is>
      </c>
      <c r="B1" t="inlineStr" s="5">
        <is>
          <t>accountcategorycodename</t>
        </is>
      </c>
      <c r="C1" t="inlineStr" s="5">
        <is>
          <t>accountclassificationcode</t>
        </is>
      </c>
      <c r="D1" t="inlineStr" s="5">
        <is>
          <t>accountclassificationcodename</t>
        </is>
      </c>
      <c r="E1" t="inlineStr" s="5">
        <is>
          <t>accountid</t>
        </is>
      </c>
      <c r="F1" t="inlineStr" s="5">
        <is>
          <t>accountnumber</t>
        </is>
      </c>
      <c r="G1" t="inlineStr" s="5">
        <is>
          <t>accountratingcode</t>
        </is>
      </c>
      <c r="H1" t="inlineStr" s="5">
        <is>
          <t>accountratingcodename</t>
        </is>
      </c>
      <c r="I1" t="inlineStr" s="5">
        <is>
          <t>address1_addressid</t>
        </is>
      </c>
      <c r="J1" t="inlineStr" s="5">
        <is>
          <t>address1_addresstypecode</t>
        </is>
      </c>
      <c r="K1" t="inlineStr" s="5">
        <is>
          <t>address1_addresstypecodename</t>
        </is>
      </c>
      <c r="L1" t="inlineStr" s="5">
        <is>
          <t>address1_city</t>
        </is>
      </c>
      <c r="M1" t="inlineStr" s="5">
        <is>
          <t>address1_composite</t>
        </is>
      </c>
      <c r="N1" t="inlineStr" s="5">
        <is>
          <t>address1_country</t>
        </is>
      </c>
      <c r="O1" t="inlineStr" s="5">
        <is>
          <t>address1_county</t>
        </is>
      </c>
      <c r="P1" t="inlineStr" s="5">
        <is>
          <t>address1_fax</t>
        </is>
      </c>
      <c r="Q1" t="inlineStr" s="5">
        <is>
          <t>address1_freighttermscode</t>
        </is>
      </c>
      <c r="R1" t="inlineStr" s="5">
        <is>
          <t>address1_freighttermscodename</t>
        </is>
      </c>
      <c r="S1" t="inlineStr" s="5">
        <is>
          <t>address1_latitude</t>
        </is>
      </c>
      <c r="T1" t="inlineStr" s="5">
        <is>
          <t>address1_line1</t>
        </is>
      </c>
      <c r="U1" t="inlineStr" s="5">
        <is>
          <t>address1_line2</t>
        </is>
      </c>
      <c r="V1" t="inlineStr" s="5">
        <is>
          <t>address1_line3</t>
        </is>
      </c>
      <c r="W1" t="inlineStr" s="5">
        <is>
          <t>address1_longitude</t>
        </is>
      </c>
      <c r="X1" t="inlineStr" s="5">
        <is>
          <t>address1_name</t>
        </is>
      </c>
      <c r="Y1" t="inlineStr" s="5">
        <is>
          <t>address1_postalcode</t>
        </is>
      </c>
      <c r="Z1" t="inlineStr" s="5">
        <is>
          <t>address1_postofficebox</t>
        </is>
      </c>
      <c r="AA1" t="inlineStr" s="5">
        <is>
          <t>address1_primarycontactname</t>
        </is>
      </c>
      <c r="AB1" t="inlineStr" s="5">
        <is>
          <t>address1_shippingmethodcode</t>
        </is>
      </c>
      <c r="AC1" t="inlineStr" s="5">
        <is>
          <t>address1_shippingmethodcodename</t>
        </is>
      </c>
      <c r="AD1" t="inlineStr" s="5">
        <is>
          <t>address1_stateorprovince</t>
        </is>
      </c>
      <c r="AE1" t="inlineStr" s="5">
        <is>
          <t>address1_telephone1</t>
        </is>
      </c>
      <c r="AF1" t="inlineStr" s="5">
        <is>
          <t>address1_telephone2</t>
        </is>
      </c>
      <c r="AG1" t="inlineStr" s="5">
        <is>
          <t>address1_telephone3</t>
        </is>
      </c>
      <c r="AH1" t="inlineStr" s="5">
        <is>
          <t>address1_upszone</t>
        </is>
      </c>
      <c r="AI1" t="inlineStr" s="5">
        <is>
          <t>address1_utcoffset</t>
        </is>
      </c>
      <c r="AJ1" t="inlineStr" s="5">
        <is>
          <t>address2_addressid</t>
        </is>
      </c>
      <c r="AK1" t="inlineStr" s="5">
        <is>
          <t>address2_addresstypecode</t>
        </is>
      </c>
      <c r="AL1" t="inlineStr" s="5">
        <is>
          <t>address2_addresstypecodename</t>
        </is>
      </c>
      <c r="AM1" t="inlineStr" s="5">
        <is>
          <t>address2_city</t>
        </is>
      </c>
      <c r="AN1" t="inlineStr" s="5">
        <is>
          <t>address2_composite</t>
        </is>
      </c>
      <c r="AO1" t="inlineStr" s="5">
        <is>
          <t>address2_country</t>
        </is>
      </c>
      <c r="AP1" t="inlineStr" s="5">
        <is>
          <t>address2_county</t>
        </is>
      </c>
      <c r="AQ1" t="inlineStr" s="5">
        <is>
          <t>address2_fax</t>
        </is>
      </c>
      <c r="AR1" t="inlineStr" s="5">
        <is>
          <t>address2_freighttermscode</t>
        </is>
      </c>
      <c r="AS1" t="inlineStr" s="5">
        <is>
          <t>address2_freighttermscodename</t>
        </is>
      </c>
      <c r="AT1" t="inlineStr" s="5">
        <is>
          <t>address2_latitude</t>
        </is>
      </c>
      <c r="AU1" t="inlineStr" s="5">
        <is>
          <t>address2_line1</t>
        </is>
      </c>
      <c r="AV1" t="inlineStr" s="5">
        <is>
          <t>address2_line2</t>
        </is>
      </c>
      <c r="AW1" t="inlineStr" s="5">
        <is>
          <t>address2_line3</t>
        </is>
      </c>
      <c r="AX1" t="inlineStr" s="5">
        <is>
          <t>address2_longitude</t>
        </is>
      </c>
      <c r="AY1" t="inlineStr" s="5">
        <is>
          <t>address2_name</t>
        </is>
      </c>
      <c r="AZ1" t="inlineStr" s="5">
        <is>
          <t>address2_postalcode</t>
        </is>
      </c>
      <c r="BA1" t="inlineStr" s="5">
        <is>
          <t>address2_postofficebox</t>
        </is>
      </c>
      <c r="BB1" t="inlineStr" s="5">
        <is>
          <t>address2_primarycontactname</t>
        </is>
      </c>
      <c r="BC1" t="inlineStr" s="5">
        <is>
          <t>address2_shippingmethodcode</t>
        </is>
      </c>
      <c r="BD1" t="inlineStr" s="5">
        <is>
          <t>address2_shippingmethodcodename</t>
        </is>
      </c>
      <c r="BE1" t="inlineStr" s="5">
        <is>
          <t>address2_stateorprovince</t>
        </is>
      </c>
      <c r="BF1" t="inlineStr" s="5">
        <is>
          <t>address2_telephone1</t>
        </is>
      </c>
      <c r="BG1" t="inlineStr" s="5">
        <is>
          <t>address2_telephone2</t>
        </is>
      </c>
      <c r="BH1" t="inlineStr" s="5">
        <is>
          <t>address2_telephone3</t>
        </is>
      </c>
      <c r="BI1" t="inlineStr" s="5">
        <is>
          <t>address2_upszone</t>
        </is>
      </c>
      <c r="BJ1" t="inlineStr" s="5">
        <is>
          <t>address2_utcoffset</t>
        </is>
      </c>
      <c r="BK1" t="inlineStr" s="5">
        <is>
          <t>adx_createdbyipaddress</t>
        </is>
      </c>
      <c r="BL1" t="inlineStr" s="5">
        <is>
          <t>adx_createdbyusername</t>
        </is>
      </c>
      <c r="BM1" t="inlineStr" s="5">
        <is>
          <t>adx_modifiedbyipaddress</t>
        </is>
      </c>
      <c r="BN1" t="inlineStr" s="5">
        <is>
          <t>adx_modifiedbyusername</t>
        </is>
      </c>
      <c r="BO1" t="inlineStr" s="5">
        <is>
          <t>aging30</t>
        </is>
      </c>
      <c r="BP1" t="inlineStr" s="5">
        <is>
          <t>aging30_base</t>
        </is>
      </c>
      <c r="BQ1" t="inlineStr" s="5">
        <is>
          <t>aging60</t>
        </is>
      </c>
      <c r="BR1" t="inlineStr" s="5">
        <is>
          <t>aging60_base</t>
        </is>
      </c>
      <c r="BS1" t="inlineStr" s="5">
        <is>
          <t>aging90</t>
        </is>
      </c>
      <c r="BT1" t="inlineStr" s="5">
        <is>
          <t>aging90_base</t>
        </is>
      </c>
      <c r="BU1" t="inlineStr" s="5">
        <is>
          <t>businesstypecode</t>
        </is>
      </c>
      <c r="BV1" t="inlineStr" s="5">
        <is>
          <t>businesstypecodename</t>
        </is>
      </c>
      <c r="BW1" t="inlineStr" s="5">
        <is>
          <t>cr493_newlinktoaccount</t>
        </is>
      </c>
      <c r="BX1" t="inlineStr" s="5">
        <is>
          <t>cr493_newlinktoaccountname</t>
        </is>
      </c>
      <c r="BY1" t="inlineStr" s="5">
        <is>
          <t>createdby</t>
        </is>
      </c>
      <c r="BZ1" t="inlineStr" s="5">
        <is>
          <t>createdbyname</t>
        </is>
      </c>
      <c r="CA1" t="inlineStr" s="5">
        <is>
          <t>createdbyexternalparty</t>
        </is>
      </c>
      <c r="CB1" t="inlineStr" s="5">
        <is>
          <t>createdbyexternalpartyname</t>
        </is>
      </c>
      <c r="CC1" t="inlineStr" s="5">
        <is>
          <t>createdon</t>
        </is>
      </c>
      <c r="CD1" t="inlineStr" s="5">
        <is>
          <t>createdonbehalfby</t>
        </is>
      </c>
      <c r="CE1" t="inlineStr" s="5">
        <is>
          <t>createdonbehalfbyname</t>
        </is>
      </c>
      <c r="CF1" t="inlineStr" s="5">
        <is>
          <t>creditlimit</t>
        </is>
      </c>
      <c r="CG1" t="inlineStr" s="5">
        <is>
          <t>creditlimit_base</t>
        </is>
      </c>
      <c r="CH1" t="inlineStr" s="5">
        <is>
          <t>creditonhold</t>
        </is>
      </c>
      <c r="CI1" t="inlineStr" s="5">
        <is>
          <t>creditonholdname</t>
        </is>
      </c>
      <c r="CJ1" t="inlineStr" s="5">
        <is>
          <t>customersizecode</t>
        </is>
      </c>
      <c r="CK1" t="inlineStr" s="5">
        <is>
          <t>customersizecodename</t>
        </is>
      </c>
      <c r="CL1" t="inlineStr" s="5">
        <is>
          <t>customertypecode</t>
        </is>
      </c>
      <c r="CM1" t="inlineStr" s="5">
        <is>
          <t>customertypecodename</t>
        </is>
      </c>
      <c r="CN1" t="inlineStr" s="5">
        <is>
          <t>defaultpricelevelid</t>
        </is>
      </c>
      <c r="CO1" t="inlineStr" s="5">
        <is>
          <t>defaultpricelevelidname</t>
        </is>
      </c>
      <c r="CP1" t="inlineStr" s="5">
        <is>
          <t>description</t>
        </is>
      </c>
      <c r="CQ1" t="inlineStr" s="5">
        <is>
          <t>donotbulkemail</t>
        </is>
      </c>
      <c r="CR1" t="inlineStr" s="5">
        <is>
          <t>donotbulkemailname</t>
        </is>
      </c>
      <c r="CS1" t="inlineStr" s="5">
        <is>
          <t>donotbulkpostalmail</t>
        </is>
      </c>
      <c r="CT1" t="inlineStr" s="5">
        <is>
          <t>donotbulkpostalmailname</t>
        </is>
      </c>
      <c r="CU1" t="inlineStr" s="5">
        <is>
          <t>donotemail</t>
        </is>
      </c>
      <c r="CV1" t="inlineStr" s="5">
        <is>
          <t>donotemailname</t>
        </is>
      </c>
      <c r="CW1" t="inlineStr" s="5">
        <is>
          <t>donotfax</t>
        </is>
      </c>
      <c r="CX1" t="inlineStr" s="5">
        <is>
          <t>donotfaxname</t>
        </is>
      </c>
      <c r="CY1" t="inlineStr" s="5">
        <is>
          <t>donotphone</t>
        </is>
      </c>
      <c r="CZ1" t="inlineStr" s="5">
        <is>
          <t>donotphonename</t>
        </is>
      </c>
      <c r="DA1" t="inlineStr" s="5">
        <is>
          <t>donotpostalmail</t>
        </is>
      </c>
      <c r="DB1" t="inlineStr" s="5">
        <is>
          <t>donotpostalmailname</t>
        </is>
      </c>
      <c r="DC1" t="inlineStr" s="5">
        <is>
          <t>donotsendmm</t>
        </is>
      </c>
      <c r="DD1" t="inlineStr" s="5">
        <is>
          <t>donotsendmmname</t>
        </is>
      </c>
      <c r="DE1" t="inlineStr" s="5">
        <is>
          <t>emailaddress1</t>
        </is>
      </c>
      <c r="DF1" t="inlineStr" s="5">
        <is>
          <t>emailaddress2</t>
        </is>
      </c>
      <c r="DG1" t="inlineStr" s="5">
        <is>
          <t>emailaddress3</t>
        </is>
      </c>
      <c r="DH1" t="inlineStr" s="5">
        <is>
          <t>entityimageid</t>
        </is>
      </c>
      <c r="DI1" t="inlineStr" s="5">
        <is>
          <t>esc_engagementscore</t>
        </is>
      </c>
      <c r="DJ1" t="inlineStr" s="5">
        <is>
          <t>esc_latestscoreevaluation</t>
        </is>
      </c>
      <c r="DK1" t="inlineStr" s="5">
        <is>
          <t>esc_optintype</t>
        </is>
      </c>
      <c r="DL1" t="inlineStr" s="5">
        <is>
          <t>esc_overallscore</t>
        </is>
      </c>
      <c r="DM1" t="inlineStr" s="5">
        <is>
          <t>esc_scorelabel</t>
        </is>
      </c>
      <c r="DN1" t="inlineStr" s="5">
        <is>
          <t>esc_suitabilityscore</t>
        </is>
      </c>
      <c r="DO1" t="inlineStr" s="5">
        <is>
          <t>exchangerate</t>
        </is>
      </c>
      <c r="DP1" t="inlineStr" s="5">
        <is>
          <t>fax</t>
        </is>
      </c>
      <c r="DQ1" t="inlineStr" s="5">
        <is>
          <t>followemail</t>
        </is>
      </c>
      <c r="DR1" t="inlineStr" s="5">
        <is>
          <t>followemailname</t>
        </is>
      </c>
      <c r="DS1" t="inlineStr" s="5">
        <is>
          <t>ftpsiteurl</t>
        </is>
      </c>
      <c r="DT1" t="inlineStr" s="5">
        <is>
          <t>importsequencenumber</t>
        </is>
      </c>
      <c r="DU1" t="inlineStr" s="5">
        <is>
          <t>industrycode</t>
        </is>
      </c>
      <c r="DV1" t="inlineStr" s="5">
        <is>
          <t>industrycodename</t>
        </is>
      </c>
      <c r="DW1" t="inlineStr" s="5">
        <is>
          <t>lastonholdtime</t>
        </is>
      </c>
      <c r="DX1" t="inlineStr" s="5">
        <is>
          <t>lastusedincampaign</t>
        </is>
      </c>
      <c r="DY1" t="inlineStr" s="5">
        <is>
          <t>marketcap</t>
        </is>
      </c>
      <c r="DZ1" t="inlineStr" s="5">
        <is>
          <t>marketcap_base</t>
        </is>
      </c>
      <c r="EA1" t="inlineStr" s="5">
        <is>
          <t>marketingonly</t>
        </is>
      </c>
      <c r="EB1" t="inlineStr" s="5">
        <is>
          <t>marketingonlyname</t>
        </is>
      </c>
      <c r="EC1" t="inlineStr" s="5">
        <is>
          <t>masterid</t>
        </is>
      </c>
      <c r="ED1" t="inlineStr" s="5">
        <is>
          <t>masteridname</t>
        </is>
      </c>
      <c r="EE1" t="inlineStr" s="5">
        <is>
          <t>merged</t>
        </is>
      </c>
      <c r="EF1" t="inlineStr" s="5">
        <is>
          <t>mergedname</t>
        </is>
      </c>
      <c r="EG1" t="inlineStr" s="5">
        <is>
          <t>meta_accountstatuscredithold</t>
        </is>
      </c>
      <c r="EH1" t="inlineStr" s="5">
        <is>
          <t>meta_accountsubtype</t>
        </is>
      </c>
      <c r="EI1" t="inlineStr" s="5">
        <is>
          <t>meta_accountsubtypename</t>
        </is>
      </c>
      <c r="EJ1" t="inlineStr" s="5">
        <is>
          <t>meta_accounttype</t>
        </is>
      </c>
      <c r="EK1" t="inlineStr" s="5">
        <is>
          <t>meta_accounttypename</t>
        </is>
      </c>
      <c r="EL1" t="inlineStr" s="5">
        <is>
          <t>meta_addresseffectivedate</t>
        </is>
      </c>
      <c r="EM1" t="inlineStr" s="5">
        <is>
          <t>meta_addressexpirydate</t>
        </is>
      </c>
      <c r="EN1" t="inlineStr" s="5">
        <is>
          <t>meta_approvedcustomergroup</t>
        </is>
      </c>
      <c r="EO1" t="inlineStr" s="5">
        <is>
          <t>meta_authoritytoleave</t>
        </is>
      </c>
      <c r="EP1" t="inlineStr" s="5">
        <is>
          <t>meta_authoritytoleavename</t>
        </is>
      </c>
      <c r="EQ1" t="inlineStr" s="5">
        <is>
          <t>meta_backorderstatus</t>
        </is>
      </c>
      <c r="ER1" t="inlineStr" s="5">
        <is>
          <t>meta_bgsharepointurl</t>
        </is>
      </c>
      <c r="ES1" t="inlineStr" s="5">
        <is>
          <t>meta_billingaccount</t>
        </is>
      </c>
      <c r="ET1" t="inlineStr" s="5">
        <is>
          <t>meta_billingaccountname</t>
        </is>
      </c>
      <c r="EU1" t="inlineStr" s="5">
        <is>
          <t>meta_billingcountry</t>
        </is>
      </c>
      <c r="EV1" t="inlineStr" s="5">
        <is>
          <t>meta_billingcountryname</t>
        </is>
      </c>
      <c r="EW1" t="inlineStr" s="5">
        <is>
          <t>meta_billingcustomertype</t>
        </is>
      </c>
      <c r="EX1" t="inlineStr" s="5">
        <is>
          <t>meta_billingcustomertypename</t>
        </is>
      </c>
      <c r="EY1" t="inlineStr" s="5">
        <is>
          <t>meta_billingpostcode</t>
        </is>
      </c>
      <c r="EZ1" t="inlineStr" s="5">
        <is>
          <t>meta_billingpostcodename</t>
        </is>
      </c>
      <c r="FA1" t="inlineStr" s="5">
        <is>
          <t>meta_billingsuburb</t>
        </is>
      </c>
      <c r="FB1" t="inlineStr" s="5">
        <is>
          <t>meta_billingsuburbname</t>
        </is>
      </c>
      <c r="FC1" t="inlineStr" s="5">
        <is>
          <t>meta_businessunit</t>
        </is>
      </c>
      <c r="FD1" t="inlineStr" s="5">
        <is>
          <t>meta_businessunitname</t>
        </is>
      </c>
      <c r="FE1" t="inlineStr" s="5">
        <is>
          <t>meta_calclegaycaccnum</t>
        </is>
      </c>
      <c r="FF1" t="inlineStr" s="5">
        <is>
          <t>meta_casetocontactid</t>
        </is>
      </c>
      <c r="FG1" t="inlineStr" s="5">
        <is>
          <t>meta_casetocontactidname</t>
        </is>
      </c>
      <c r="FH1" t="inlineStr" s="5">
        <is>
          <t>meta_channel</t>
        </is>
      </c>
      <c r="FI1" t="inlineStr" s="5">
        <is>
          <t>meta_channelname</t>
        </is>
      </c>
      <c r="FJ1" t="inlineStr" s="5">
        <is>
          <t>meta_cleanupreason</t>
        </is>
      </c>
      <c r="FK1" t="inlineStr" s="5">
        <is>
          <t>meta_compliancestatus</t>
        </is>
      </c>
      <c r="FL1" t="inlineStr" s="5">
        <is>
          <t>meta_compliancestatusname</t>
        </is>
      </c>
      <c r="FM1" t="inlineStr" s="5">
        <is>
          <t>meta_country</t>
        </is>
      </c>
      <c r="FN1" t="inlineStr" s="5">
        <is>
          <t>meta_countryname</t>
        </is>
      </c>
      <c r="FO1" t="inlineStr" s="5">
        <is>
          <t>meta_createaccountmanagement</t>
        </is>
      </c>
      <c r="FP1" t="inlineStr" s="5">
        <is>
          <t>meta_createaccountmanagementname</t>
        </is>
      </c>
      <c r="FQ1" t="inlineStr" s="5">
        <is>
          <t>meta_customertype</t>
        </is>
      </c>
      <c r="FR1" t="inlineStr" s="5">
        <is>
          <t>meta_distributor</t>
        </is>
      </c>
      <c r="FS1" t="inlineStr" s="5">
        <is>
          <t>meta_distributorname</t>
        </is>
      </c>
      <c r="FT1" t="inlineStr" s="5">
        <is>
          <t>meta_distributornamename</t>
        </is>
      </c>
      <c r="FU1" t="inlineStr" s="5">
        <is>
          <t>meta_distributorordering</t>
        </is>
      </c>
      <c r="FV1" t="inlineStr" s="5">
        <is>
          <t>meta_distributororderingname</t>
        </is>
      </c>
      <c r="FW1" t="inlineStr" s="5">
        <is>
          <t>meta_eventregistrationaccount</t>
        </is>
      </c>
      <c r="FX1" t="inlineStr" s="5">
        <is>
          <t>meta_eventregistrationaccountname</t>
        </is>
      </c>
      <c r="FY1" t="inlineStr" s="5">
        <is>
          <t>meta_excludefield</t>
        </is>
      </c>
      <c r="FZ1" t="inlineStr" s="5">
        <is>
          <t>meta_finopsaccountstatus</t>
        </is>
      </c>
      <c r="GA1" t="inlineStr" s="5">
        <is>
          <t>meta_fo_addresslocationid</t>
        </is>
      </c>
      <c r="GB1" t="inlineStr" s="5">
        <is>
          <t>meta_group</t>
        </is>
      </c>
      <c r="GC1" t="inlineStr" s="5">
        <is>
          <t>meta_groupname</t>
        </is>
      </c>
      <c r="GD1" t="inlineStr" s="5">
        <is>
          <t>meta_integrationstatus</t>
        </is>
      </c>
      <c r="GE1" t="inlineStr" s="5">
        <is>
          <t>meta_integrationstatusname</t>
        </is>
      </c>
      <c r="GF1" t="inlineStr" s="5">
        <is>
          <t>meta_invoicetotal</t>
        </is>
      </c>
      <c r="GG1" t="inlineStr" s="5">
        <is>
          <t>meta_invoicetotal_base</t>
        </is>
      </c>
      <c r="GH1" t="inlineStr" s="5">
        <is>
          <t>meta_invoicetotal_date</t>
        </is>
      </c>
      <c r="GI1" t="inlineStr" s="5">
        <is>
          <t>meta_invoicetotal_state</t>
        </is>
      </c>
      <c r="GJ1" t="inlineStr" s="5">
        <is>
          <t>meta_ispractitioneraccount</t>
        </is>
      </c>
      <c r="GK1" t="inlineStr" s="5">
        <is>
          <t>meta_ispractitioneraccountname</t>
        </is>
      </c>
      <c r="GL1" t="inlineStr" s="5">
        <is>
          <t>meta_isretailaccount</t>
        </is>
      </c>
      <c r="GM1" t="inlineStr" s="5">
        <is>
          <t>meta_isretailaccountname</t>
        </is>
      </c>
      <c r="GN1" t="inlineStr" s="5">
        <is>
          <t>meta_lastorderdate</t>
        </is>
      </c>
      <c r="GO1" t="inlineStr" s="5">
        <is>
          <t>meta_lastorderdate_date</t>
        </is>
      </c>
      <c r="GP1" t="inlineStr" s="5">
        <is>
          <t>meta_lastorderdate_state</t>
        </is>
      </c>
      <c r="GQ1" t="inlineStr" s="5">
        <is>
          <t>meta_latestinvoicedate</t>
        </is>
      </c>
      <c r="GR1" t="inlineStr" s="5">
        <is>
          <t>meta_latestinvoicedate_date</t>
        </is>
      </c>
      <c r="GS1" t="inlineStr" s="5">
        <is>
          <t>meta_latestinvoicedate_state</t>
        </is>
      </c>
      <c r="GT1" t="inlineStr" s="5">
        <is>
          <t>meta_latestorderdate</t>
        </is>
      </c>
      <c r="GU1" t="inlineStr" s="5">
        <is>
          <t>meta_latestorderdate_date</t>
        </is>
      </c>
      <c r="GV1" t="inlineStr" s="5">
        <is>
          <t>meta_latestorderdate_state</t>
        </is>
      </c>
      <c r="GW1" t="inlineStr" s="5">
        <is>
          <t>meta_leadid</t>
        </is>
      </c>
      <c r="GX1" t="inlineStr" s="5">
        <is>
          <t>meta_leadidname</t>
        </is>
      </c>
      <c r="GY1" t="inlineStr" s="5">
        <is>
          <t>meta_legacyaccountnumber</t>
        </is>
      </c>
      <c r="GZ1" t="inlineStr" s="5">
        <is>
          <t>meta_legacyaltaddress</t>
        </is>
      </c>
      <c r="HA1" t="inlineStr" s="5">
        <is>
          <t>meta_legacyid</t>
        </is>
      </c>
      <c r="HB1" t="inlineStr" s="5">
        <is>
          <t>meta_legalname</t>
        </is>
      </c>
      <c r="HC1" t="inlineStr" s="5">
        <is>
          <t>meta_linediscount</t>
        </is>
      </c>
      <c r="HD1" t="inlineStr" s="5">
        <is>
          <t>meta_mergeintolink</t>
        </is>
      </c>
      <c r="HE1" t="inlineStr" s="5">
        <is>
          <t>meta_mergeintolinkname</t>
        </is>
      </c>
      <c r="HF1" t="inlineStr" s="5">
        <is>
          <t>meta_mergeintotext</t>
        </is>
      </c>
      <c r="HG1" t="inlineStr" s="5">
        <is>
          <t>meta_modalitysegment</t>
        </is>
      </c>
      <c r="HH1" t="inlineStr" s="5">
        <is>
          <t>meta_modalitysubsegment</t>
        </is>
      </c>
      <c r="HI1" t="inlineStr" s="5">
        <is>
          <t>meta_movingannualtotalmatcrmorders</t>
        </is>
      </c>
      <c r="HJ1" t="inlineStr" s="5">
        <is>
          <t>meta_movingannualtotalmatcrmorders_base</t>
        </is>
      </c>
      <c r="HK1" t="inlineStr" s="5">
        <is>
          <t>meta_movingannualtotalmatcrmorders_date</t>
        </is>
      </c>
      <c r="HL1" t="inlineStr" s="5">
        <is>
          <t>meta_movingannualtotalmatcrmorders_state</t>
        </is>
      </c>
      <c r="HM1" t="inlineStr" s="5">
        <is>
          <t>meta_movingannualtotalmatinvoices</t>
        </is>
      </c>
      <c r="HN1" t="inlineStr" s="5">
        <is>
          <t>meta_movingannualtotalmatinvoices_base</t>
        </is>
      </c>
      <c r="HO1" t="inlineStr" s="5">
        <is>
          <t>meta_movingannualtotalmatinvoices_date</t>
        </is>
      </c>
      <c r="HP1" t="inlineStr" s="5">
        <is>
          <t>meta_movingannualtotalmatinvoices_state</t>
        </is>
      </c>
      <c r="HQ1" t="inlineStr" s="5">
        <is>
          <t>meta_newfield</t>
        </is>
      </c>
      <c r="HR1" t="inlineStr" s="5">
        <is>
          <t>meta_newfieldname</t>
        </is>
      </c>
      <c r="HS1" t="inlineStr" s="5">
        <is>
          <t>meta_noethicalnutrientsbays</t>
        </is>
      </c>
      <c r="HT1" t="inlineStr" s="5">
        <is>
          <t>meta_noethicalnutrientsbaysname</t>
        </is>
      </c>
      <c r="HU1" t="inlineStr" s="5">
        <is>
          <t>meta_noinnerhealthbays</t>
        </is>
      </c>
      <c r="HV1" t="inlineStr" s="5">
        <is>
          <t>meta_noinnerhealthbaysname</t>
        </is>
      </c>
      <c r="HW1" t="inlineStr" s="5">
        <is>
          <t>meta_noofbaysinstore</t>
        </is>
      </c>
      <c r="HX1" t="inlineStr" s="5">
        <is>
          <t>meta_paymentterms</t>
        </is>
      </c>
      <c r="HY1" t="inlineStr" s="5">
        <is>
          <t>meta_paymenttermsname</t>
        </is>
      </c>
      <c r="HZ1" t="inlineStr" s="5">
        <is>
          <t>meta_percentageshareofen</t>
        </is>
      </c>
      <c r="IA1" t="inlineStr" s="5">
        <is>
          <t>meta_percentageshareofih</t>
        </is>
      </c>
      <c r="IB1" t="inlineStr" s="5">
        <is>
          <t>meta_pogimageid</t>
        </is>
      </c>
      <c r="IC1" t="inlineStr" s="5">
        <is>
          <t>meta_postal_state_province</t>
        </is>
      </c>
      <c r="ID1" t="inlineStr" s="5">
        <is>
          <t>meta_postal_street1</t>
        </is>
      </c>
      <c r="IE1" t="inlineStr" s="5">
        <is>
          <t>meta_postalcountry</t>
        </is>
      </c>
      <c r="IF1" t="inlineStr" s="5">
        <is>
          <t>meta_postalcountryname</t>
        </is>
      </c>
      <c r="IG1" t="inlineStr" s="5">
        <is>
          <t>meta_postalpostcode</t>
        </is>
      </c>
      <c r="IH1" t="inlineStr" s="5">
        <is>
          <t>meta_postalpostcodename</t>
        </is>
      </c>
      <c r="II1" t="inlineStr" s="5">
        <is>
          <t>meta_postalsuburb</t>
        </is>
      </c>
      <c r="IJ1" t="inlineStr" s="5">
        <is>
          <t>meta_postalsuburbname</t>
        </is>
      </c>
      <c r="IK1" t="inlineStr" s="5">
        <is>
          <t>meta_postcode</t>
        </is>
      </c>
      <c r="IL1" t="inlineStr" s="5">
        <is>
          <t>meta_postcodename</t>
        </is>
      </c>
      <c r="IM1" t="inlineStr" s="5">
        <is>
          <t>meta_pracsalesrep</t>
        </is>
      </c>
      <c r="IN1" t="inlineStr" s="5">
        <is>
          <t>meta_pracsalesrepname</t>
        </is>
      </c>
      <c r="IO1" t="inlineStr" s="5">
        <is>
          <t>meta_pracsegment</t>
        </is>
      </c>
      <c r="IP1" t="inlineStr" s="5">
        <is>
          <t>meta_pracsegmentname</t>
        </is>
      </c>
      <c r="IQ1" t="inlineStr" s="5">
        <is>
          <t>meta_practerritory</t>
        </is>
      </c>
      <c r="IR1" t="inlineStr" s="5">
        <is>
          <t>meta_practerritoryname</t>
        </is>
      </c>
      <c r="IS1" t="inlineStr" s="5">
        <is>
          <t>meta_practitionerdiscountgroup</t>
        </is>
      </c>
      <c r="IT1" t="inlineStr" s="5">
        <is>
          <t>meta_practitionerdiscountgroupname</t>
        </is>
      </c>
      <c r="IU1" t="inlineStr" s="5">
        <is>
          <t>meta_pracwebsiteidentifier</t>
        </is>
      </c>
      <c r="IV1" t="inlineStr" s="5">
        <is>
          <t>meta_pracwebsiteidentifiername</t>
        </is>
      </c>
      <c r="IW1" t="inlineStr" s="5">
        <is>
          <t>meta_primarymodality</t>
        </is>
      </c>
      <c r="IX1" t="inlineStr" s="5">
        <is>
          <t>meta_primarymodalityname</t>
        </is>
      </c>
      <c r="IY1" t="inlineStr" s="5">
        <is>
          <t>meta_primarysalesrep</t>
        </is>
      </c>
      <c r="IZ1" t="inlineStr" s="5">
        <is>
          <t>meta_purpose</t>
        </is>
      </c>
      <c r="JA1" t="inlineStr" s="5">
        <is>
          <t>meta_purposename</t>
        </is>
      </c>
      <c r="JB1" t="inlineStr" s="5">
        <is>
          <t>meta_quarterfocus</t>
        </is>
      </c>
      <c r="JC1" t="inlineStr" s="5">
        <is>
          <t>meta_region</t>
        </is>
      </c>
      <c r="JD1" t="inlineStr" s="5">
        <is>
          <t>meta_regionname</t>
        </is>
      </c>
      <c r="JE1" t="inlineStr" s="5">
        <is>
          <t>meta_resolvemacolacustomertype</t>
        </is>
      </c>
      <c r="JF1" t="inlineStr" s="5">
        <is>
          <t>meta_resolvemacolacustomertypename</t>
        </is>
      </c>
      <c r="JG1" t="inlineStr" s="5">
        <is>
          <t>meta_retaildiscountgroup</t>
        </is>
      </c>
      <c r="JH1" t="inlineStr" s="5">
        <is>
          <t>meta_retaildiscountgroupname</t>
        </is>
      </c>
      <c r="JI1" t="inlineStr" s="5">
        <is>
          <t>meta_retailsalesrep</t>
        </is>
      </c>
      <c r="JJ1" t="inlineStr" s="5">
        <is>
          <t>meta_retailsalesrepname</t>
        </is>
      </c>
      <c r="JK1" t="inlineStr" s="5">
        <is>
          <t>meta_retailsegment</t>
        </is>
      </c>
      <c r="JL1" t="inlineStr" s="5">
        <is>
          <t>meta_retailsegmentname</t>
        </is>
      </c>
      <c r="JM1" t="inlineStr" s="5">
        <is>
          <t>meta_retailterritory</t>
        </is>
      </c>
      <c r="JN1" t="inlineStr" s="5">
        <is>
          <t>meta_retailterritoryname</t>
        </is>
      </c>
      <c r="JO1" t="inlineStr" s="5">
        <is>
          <t>meta_salesmetricsurl</t>
        </is>
      </c>
      <c r="JP1" t="inlineStr" s="5">
        <is>
          <t>meta_sector</t>
        </is>
      </c>
      <c r="JQ1" t="inlineStr" s="5">
        <is>
          <t>meta_sectorname</t>
        </is>
      </c>
      <c r="JR1" t="inlineStr" s="5">
        <is>
          <t>meta_selectdistributor</t>
        </is>
      </c>
      <c r="JS1" t="inlineStr" s="5">
        <is>
          <t>meta_selectdistributorname</t>
        </is>
      </c>
      <c r="JT1" t="inlineStr" s="5">
        <is>
          <t>meta_shippingmethod</t>
        </is>
      </c>
      <c r="JU1" t="inlineStr" s="5">
        <is>
          <t>meta_shippingmethodname</t>
        </is>
      </c>
      <c r="JV1" t="inlineStr" s="5">
        <is>
          <t>meta_street2</t>
        </is>
      </c>
      <c r="JW1" t="inlineStr" s="5">
        <is>
          <t>meta_subsector</t>
        </is>
      </c>
      <c r="JX1" t="inlineStr" s="5">
        <is>
          <t>meta_subsectorname</t>
        </is>
      </c>
      <c r="JY1" t="inlineStr" s="5">
        <is>
          <t>meta_suburb</t>
        </is>
      </c>
      <c r="JZ1" t="inlineStr" s="5">
        <is>
          <t>meta_suburbname</t>
        </is>
      </c>
      <c r="KA1" t="inlineStr" s="5">
        <is>
          <t>meta_tobecleaned</t>
        </is>
      </c>
      <c r="KB1" t="inlineStr" s="5">
        <is>
          <t>meta_totalorderamountytd</t>
        </is>
      </c>
      <c r="KC1" t="inlineStr" s="5">
        <is>
          <t>meta_totalorderamountytd_base</t>
        </is>
      </c>
      <c r="KD1" t="inlineStr" s="5">
        <is>
          <t>meta_totalorderamountytd_date</t>
        </is>
      </c>
      <c r="KE1" t="inlineStr" s="5">
        <is>
          <t>meta_totalorderamountytd_state</t>
        </is>
      </c>
      <c r="KF1" t="inlineStr" s="5">
        <is>
          <t>meta_totalspendytdinvoices</t>
        </is>
      </c>
      <c r="KG1" t="inlineStr" s="5">
        <is>
          <t>meta_totalspendytdinvoices_base</t>
        </is>
      </c>
      <c r="KH1" t="inlineStr" s="5">
        <is>
          <t>meta_totalspendytdinvoices_date</t>
        </is>
      </c>
      <c r="KI1" t="inlineStr" s="5">
        <is>
          <t>meta_totalspendytdinvoices_state</t>
        </is>
      </c>
      <c r="KJ1" t="inlineStr" s="5">
        <is>
          <t>meta_totalspent</t>
        </is>
      </c>
      <c r="KK1" t="inlineStr" s="5">
        <is>
          <t>meta_totalspent_base</t>
        </is>
      </c>
      <c r="KL1" t="inlineStr" s="5">
        <is>
          <t>meta_totalspent_date</t>
        </is>
      </c>
      <c r="KM1" t="inlineStr" s="5">
        <is>
          <t>meta_totalspent_state</t>
        </is>
      </c>
      <c r="KN1" t="inlineStr" s="5">
        <is>
          <t>meta_welcomepacksent</t>
        </is>
      </c>
      <c r="KO1" t="inlineStr" s="5">
        <is>
          <t>meta_welcomepacksentname</t>
        </is>
      </c>
      <c r="KP1" t="inlineStr" s="5">
        <is>
          <t>modifiedby</t>
        </is>
      </c>
      <c r="KQ1" t="inlineStr" s="5">
        <is>
          <t>modifiedbyname</t>
        </is>
      </c>
      <c r="KR1" t="inlineStr" s="5">
        <is>
          <t>modifiedbyexternalparty</t>
        </is>
      </c>
      <c r="KS1" t="inlineStr" s="5">
        <is>
          <t>modifiedbyexternalpartyname</t>
        </is>
      </c>
      <c r="KT1" t="inlineStr" s="5">
        <is>
          <t>modifiedon</t>
        </is>
      </c>
      <c r="KU1" t="inlineStr" s="5">
        <is>
          <t>modifiedonbehalfby</t>
        </is>
      </c>
      <c r="KV1" t="inlineStr" s="5">
        <is>
          <t>modifiedonbehalfbyname</t>
        </is>
      </c>
      <c r="KW1" t="inlineStr" s="5">
        <is>
          <t>msa_managingpartnerid</t>
        </is>
      </c>
      <c r="KX1" t="inlineStr" s="5">
        <is>
          <t>msa_managingpartneridname</t>
        </is>
      </c>
      <c r="KY1" t="inlineStr" s="5">
        <is>
          <t>msdyn_accountkpiid</t>
        </is>
      </c>
      <c r="KZ1" t="inlineStr" s="5">
        <is>
          <t>msdyn_accountkpiidname</t>
        </is>
      </c>
      <c r="LA1" t="inlineStr" s="5">
        <is>
          <t>msdyn_gdproptout</t>
        </is>
      </c>
      <c r="LB1" t="inlineStr" s="5">
        <is>
          <t>msdyn_gdproptoutname</t>
        </is>
      </c>
      <c r="LC1" t="inlineStr" s="5">
        <is>
          <t>msdyn_primarytimezone</t>
        </is>
      </c>
      <c r="LD1" t="inlineStr" s="5">
        <is>
          <t>msdyn_salesaccelerationinsightid</t>
        </is>
      </c>
      <c r="LE1" t="inlineStr" s="5">
        <is>
          <t>msdyn_salesaccelerationinsightidname</t>
        </is>
      </c>
      <c r="LF1" t="inlineStr" s="5">
        <is>
          <t>msdyn_segmentid</t>
        </is>
      </c>
      <c r="LG1" t="inlineStr" s="5">
        <is>
          <t>msdyn_segmentidname</t>
        </is>
      </c>
      <c r="LH1" t="inlineStr" s="5">
        <is>
          <t>name</t>
        </is>
      </c>
      <c r="LI1" t="inlineStr" s="5">
        <is>
          <t>new_duplicate</t>
        </is>
      </c>
      <c r="LJ1" t="inlineStr" s="5">
        <is>
          <t>new_duplicatename</t>
        </is>
      </c>
      <c r="LK1" t="inlineStr" s="5">
        <is>
          <t>new_testmulti</t>
        </is>
      </c>
      <c r="LL1" t="inlineStr" s="5">
        <is>
          <t>new_testmultiname</t>
        </is>
      </c>
      <c r="LM1" t="inlineStr" s="5">
        <is>
          <t>numberofemployees</t>
        </is>
      </c>
      <c r="LN1" t="inlineStr" s="5">
        <is>
          <t>onholdtime</t>
        </is>
      </c>
      <c r="LO1" t="inlineStr" s="5">
        <is>
          <t>opendeals</t>
        </is>
      </c>
      <c r="LP1" t="inlineStr" s="5">
        <is>
          <t>opendeals_date</t>
        </is>
      </c>
      <c r="LQ1" t="inlineStr" s="5">
        <is>
          <t>opendeals_state</t>
        </is>
      </c>
      <c r="LR1" t="inlineStr" s="5">
        <is>
          <t>openrevenue</t>
        </is>
      </c>
      <c r="LS1" t="inlineStr" s="5">
        <is>
          <t>openrevenue_base</t>
        </is>
      </c>
      <c r="LT1" t="inlineStr" s="5">
        <is>
          <t>openrevenue_date</t>
        </is>
      </c>
      <c r="LU1" t="inlineStr" s="5">
        <is>
          <t>openrevenue_state</t>
        </is>
      </c>
      <c r="LV1" t="inlineStr" s="5">
        <is>
          <t>originatingleadid</t>
        </is>
      </c>
      <c r="LW1" t="inlineStr" s="5">
        <is>
          <t>originatingleadidname</t>
        </is>
      </c>
      <c r="LX1" t="inlineStr" s="5">
        <is>
          <t>overriddencreatedon</t>
        </is>
      </c>
      <c r="LY1" t="inlineStr" s="5">
        <is>
          <t>ownerid</t>
        </is>
      </c>
      <c r="LZ1" t="inlineStr" s="5">
        <is>
          <t>owneridname</t>
        </is>
      </c>
      <c r="MA1" t="inlineStr" s="5">
        <is>
          <t>owneridtype</t>
        </is>
      </c>
      <c r="MB1" t="inlineStr" s="5">
        <is>
          <t>ownershipcode</t>
        </is>
      </c>
      <c r="MC1" t="inlineStr" s="5">
        <is>
          <t>ownershipcodename</t>
        </is>
      </c>
      <c r="MD1" t="inlineStr" s="5">
        <is>
          <t>owningbusinessunit</t>
        </is>
      </c>
      <c r="ME1" t="inlineStr" s="5">
        <is>
          <t>owningbusinessunitname</t>
        </is>
      </c>
      <c r="MF1" t="inlineStr" s="5">
        <is>
          <t>owningteam</t>
        </is>
      </c>
      <c r="MG1" t="inlineStr" s="5">
        <is>
          <t>owningteamname</t>
        </is>
      </c>
      <c r="MH1" t="inlineStr" s="5">
        <is>
          <t>owninguser</t>
        </is>
      </c>
      <c r="MI1" t="inlineStr" s="5">
        <is>
          <t>owningusername</t>
        </is>
      </c>
      <c r="MJ1" t="inlineStr" s="5">
        <is>
          <t>parentaccountid</t>
        </is>
      </c>
      <c r="MK1" t="inlineStr" s="5">
        <is>
          <t>parentaccountidname</t>
        </is>
      </c>
      <c r="ML1" t="inlineStr" s="5">
        <is>
          <t>participatesinworkflow</t>
        </is>
      </c>
      <c r="MM1" t="inlineStr" s="5">
        <is>
          <t>participatesinworkflowname</t>
        </is>
      </c>
      <c r="MN1" t="inlineStr" s="5">
        <is>
          <t>paymenttermscode</t>
        </is>
      </c>
      <c r="MO1" t="inlineStr" s="5">
        <is>
          <t>paymenttermscodename</t>
        </is>
      </c>
      <c r="MP1" t="inlineStr" s="5">
        <is>
          <t>preferredappointmentdaycode</t>
        </is>
      </c>
      <c r="MQ1" t="inlineStr" s="5">
        <is>
          <t>preferredappointmentdaycodename</t>
        </is>
      </c>
      <c r="MR1" t="inlineStr" s="5">
        <is>
          <t>preferredappointmenttimecode</t>
        </is>
      </c>
      <c r="MS1" t="inlineStr" s="5">
        <is>
          <t>preferredappointmenttimecodename</t>
        </is>
      </c>
      <c r="MT1" t="inlineStr" s="5">
        <is>
          <t>preferredcontactmethodcode</t>
        </is>
      </c>
      <c r="MU1" t="inlineStr" s="5">
        <is>
          <t>preferredcontactmethodcodename</t>
        </is>
      </c>
      <c r="MV1" t="inlineStr" s="5">
        <is>
          <t>preferredequipmentid</t>
        </is>
      </c>
      <c r="MW1" t="inlineStr" s="5">
        <is>
          <t>preferredequipmentidname</t>
        </is>
      </c>
      <c r="MX1" t="inlineStr" s="5">
        <is>
          <t>preferredserviceid</t>
        </is>
      </c>
      <c r="MY1" t="inlineStr" s="5">
        <is>
          <t>preferredserviceidname</t>
        </is>
      </c>
      <c r="MZ1" t="inlineStr" s="5">
        <is>
          <t>preferredsystemuserid</t>
        </is>
      </c>
      <c r="NA1" t="inlineStr" s="5">
        <is>
          <t>preferredsystemuseridname</t>
        </is>
      </c>
      <c r="NB1" t="inlineStr" s="5">
        <is>
          <t>primarycontactid</t>
        </is>
      </c>
      <c r="NC1" t="inlineStr" s="5">
        <is>
          <t>primarycontactidname</t>
        </is>
      </c>
      <c r="ND1" t="inlineStr" s="5">
        <is>
          <t>primarysatoriid</t>
        </is>
      </c>
      <c r="NE1" t="inlineStr" s="5">
        <is>
          <t>primarytwitterid</t>
        </is>
      </c>
      <c r="NF1" t="inlineStr" s="5">
        <is>
          <t>processid</t>
        </is>
      </c>
      <c r="NG1" t="inlineStr" s="5">
        <is>
          <t>revenue</t>
        </is>
      </c>
      <c r="NH1" t="inlineStr" s="5">
        <is>
          <t>revenue_base</t>
        </is>
      </c>
      <c r="NI1" t="inlineStr" s="5">
        <is>
          <t>sharesoutstanding</t>
        </is>
      </c>
      <c r="NJ1" t="inlineStr" s="5">
        <is>
          <t>shippingmethodcode</t>
        </is>
      </c>
      <c r="NK1" t="inlineStr" s="5">
        <is>
          <t>shippingmethodcodename</t>
        </is>
      </c>
      <c r="NL1" t="inlineStr" s="5">
        <is>
          <t>sic</t>
        </is>
      </c>
      <c r="NM1" t="inlineStr" s="5">
        <is>
          <t>slaid</t>
        </is>
      </c>
      <c r="NN1" t="inlineStr" s="5">
        <is>
          <t>slaidname</t>
        </is>
      </c>
      <c r="NO1" t="inlineStr" s="5">
        <is>
          <t>slainvokedid</t>
        </is>
      </c>
      <c r="NP1" t="inlineStr" s="5">
        <is>
          <t>slainvokedidname</t>
        </is>
      </c>
      <c r="NQ1" t="inlineStr" s="5">
        <is>
          <t>stageid</t>
        </is>
      </c>
      <c r="NR1" t="inlineStr" s="5">
        <is>
          <t>statecode</t>
        </is>
      </c>
      <c r="NS1" t="inlineStr" s="5">
        <is>
          <t>statecodename</t>
        </is>
      </c>
      <c r="NT1" t="inlineStr" s="5">
        <is>
          <t>statuscode</t>
        </is>
      </c>
      <c r="NU1" t="inlineStr" s="5">
        <is>
          <t>statuscodename</t>
        </is>
      </c>
      <c r="NV1" t="inlineStr" s="5">
        <is>
          <t>stockexchange</t>
        </is>
      </c>
      <c r="NW1" t="inlineStr" s="5">
        <is>
          <t>teamsfollowed</t>
        </is>
      </c>
      <c r="NX1" t="inlineStr" s="5">
        <is>
          <t>telephone1</t>
        </is>
      </c>
      <c r="NY1" t="inlineStr" s="5">
        <is>
          <t>telephone2</t>
        </is>
      </c>
      <c r="NZ1" t="inlineStr" s="5">
        <is>
          <t>telephone3</t>
        </is>
      </c>
      <c r="OA1" t="inlineStr" s="5">
        <is>
          <t>territorycode</t>
        </is>
      </c>
      <c r="OB1" t="inlineStr" s="5">
        <is>
          <t>territorycodename</t>
        </is>
      </c>
      <c r="OC1" t="inlineStr" s="5">
        <is>
          <t>territoryid</t>
        </is>
      </c>
      <c r="OD1" t="inlineStr" s="5">
        <is>
          <t>territoryidname</t>
        </is>
      </c>
      <c r="OE1" t="inlineStr" s="5">
        <is>
          <t>tickersymbol</t>
        </is>
      </c>
      <c r="OF1" t="inlineStr" s="5">
        <is>
          <t>timespentbymeonemailandmeetings</t>
        </is>
      </c>
      <c r="OG1" t="inlineStr" s="5">
        <is>
          <t>timezoneruleversionnumber</t>
        </is>
      </c>
      <c r="OH1" t="inlineStr" s="5">
        <is>
          <t>transactioncurrencyid</t>
        </is>
      </c>
      <c r="OI1" t="inlineStr" s="5">
        <is>
          <t>transactioncurrencyidname</t>
        </is>
      </c>
      <c r="OJ1" t="inlineStr" s="5">
        <is>
          <t>traversedpath</t>
        </is>
      </c>
      <c r="OK1" t="inlineStr" s="5">
        <is>
          <t>utcconversiontimezonecode</t>
        </is>
      </c>
      <c r="OL1" t="inlineStr" s="5">
        <is>
          <t>versionnumber</t>
        </is>
      </c>
      <c r="OM1" t="inlineStr" s="5">
        <is>
          <t>websiteurl</t>
        </is>
      </c>
      <c r="ON1" t="inlineStr" s="5">
        <is>
          <t>yominame</t>
        </is>
      </c>
    </row>
    <row r="2">
      <c r="C2">
        <v>1</v>
      </c>
      <c r="D2" t="inlineStr">
        <is>
          <t>Default Value</t>
        </is>
      </c>
      <c r="E2" t="inlineStr" s="6">
        <f>HYPERLINK("https://metagenicsd365.crm6.dynamics.com/main.aspx?etn=account&amp;pagetype=entityrecord&amp;id=dc8a7783-9b48-ef11-a316-000d3a791f7f","dc8a7783-9b48-ef11-a316-000d3a791f7f")</f>
        <v>dc8a7783-9b48-ef11-a316-000d3a791f7f</v>
      </c>
      <c r="F2" t="inlineStr">
        <is>
          <t>000000003999</t>
        </is>
      </c>
      <c r="G2">
        <v>1</v>
      </c>
      <c r="H2" t="inlineStr">
        <is>
          <t>Default Value</t>
        </is>
      </c>
      <c r="I2" t="inlineStr" s="6">
        <f>HYPERLINK("https://metagenicsd365.crm6.dynamics.com/main.aspx?etn=account&amp;pagetype=entityrecord&amp;id=34cc8b9f-806f-4a1c-8451-ef14a6089723","34cc8b9f-806f-4a1c-8451-ef14a6089723")</f>
        <v>34cc8b9f-806f-4a1c-8451-ef14a6089723</v>
      </c>
      <c r="M2" t="inlineStr">
        <is>
          <t>12 STRATHMERE PLACE
QLD</t>
        </is>
      </c>
      <c r="T2" t="inlineStr">
        <is>
          <t>12 STRATHMERE PLACE</t>
        </is>
      </c>
      <c r="AD2" t="inlineStr">
        <is>
          <t>QLD</t>
        </is>
      </c>
      <c r="AJ2" t="inlineStr" s="6">
        <f>HYPERLINK("https://metagenicsd365.crm6.dynamics.com/main.aspx?etn=account&amp;pagetype=entityrecord&amp;id=d32e0546-bed0-4fe6-af75-c30212cc82d2","d32e0546-bed0-4fe6-af75-c30212cc82d2")</f>
        <v>d32e0546-bed0-4fe6-af75-c30212cc82d2</v>
      </c>
      <c r="AK2">
        <v>1</v>
      </c>
      <c r="AL2" t="inlineStr">
        <is>
          <t>Default Value</t>
        </is>
      </c>
      <c r="AN2" t="inlineStr">
        <is>
          <t>1/288 DAWSON PARADE BANKSIA HEALING CENTRE
QLD</t>
        </is>
      </c>
      <c r="AR2">
        <v>1</v>
      </c>
      <c r="AS2" t="inlineStr">
        <is>
          <t>Default Value</t>
        </is>
      </c>
      <c r="AU2" t="inlineStr">
        <is>
          <t>1/288 DAWSON PARADE BANKSIA HEALING CENTRE</t>
        </is>
      </c>
      <c r="BC2">
        <v>1</v>
      </c>
      <c r="BD2" t="inlineStr">
        <is>
          <t>Default Value</t>
        </is>
      </c>
      <c r="BE2" t="inlineStr">
        <is>
          <t>QLD</t>
        </is>
      </c>
      <c r="BU2">
        <v>1</v>
      </c>
      <c r="BV2" t="inlineStr">
        <is>
          <t>Default Value</t>
        </is>
      </c>
      <c r="BY2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2" t="inlineStr">
        <is>
          <t>SVC_D365_CE #</t>
        </is>
      </c>
      <c r="CC2" s="3">
        <v>45496.104467592595</v>
      </c>
      <c r="CF2">
        <v>0.0000</v>
      </c>
      <c r="CG2">
        <v>0.0000</v>
      </c>
      <c r="CH2" t="b">
        <v>0</v>
      </c>
      <c r="CI2" t="inlineStr">
        <is>
          <t>No</t>
        </is>
      </c>
      <c r="CJ2">
        <v>1</v>
      </c>
      <c r="CK2" t="inlineStr">
        <is>
          <t>Default Value</t>
        </is>
      </c>
      <c r="CN2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2" t="inlineStr">
        <is>
          <t>All Products Australia</t>
        </is>
      </c>
      <c r="CQ2" t="b">
        <v>0</v>
      </c>
      <c r="CR2" t="inlineStr">
        <is>
          <t>Allow</t>
        </is>
      </c>
      <c r="CS2" t="b">
        <v>0</v>
      </c>
      <c r="CT2" t="inlineStr">
        <is>
          <t>No</t>
        </is>
      </c>
      <c r="CU2" t="b">
        <v>0</v>
      </c>
      <c r="CV2" t="inlineStr">
        <is>
          <t>Allow</t>
        </is>
      </c>
      <c r="CW2" t="b">
        <v>0</v>
      </c>
      <c r="CX2" t="inlineStr">
        <is>
          <t>Allow</t>
        </is>
      </c>
      <c r="CY2" t="b">
        <v>0</v>
      </c>
      <c r="CZ2" t="inlineStr">
        <is>
          <t>Allow</t>
        </is>
      </c>
      <c r="DA2" t="b">
        <v>0</v>
      </c>
      <c r="DB2" t="inlineStr">
        <is>
          <t>Allow</t>
        </is>
      </c>
      <c r="DC2" t="b">
        <v>0</v>
      </c>
      <c r="DD2" t="inlineStr">
        <is>
          <t>Send</t>
        </is>
      </c>
      <c r="DF2" t="inlineStr">
        <is>
          <t>patricia-mcnab@bigpond.com</t>
        </is>
      </c>
      <c r="DO2">
        <v>1.0000000000</v>
      </c>
      <c r="DQ2" t="b">
        <v>1</v>
      </c>
      <c r="DR2" t="inlineStr">
        <is>
          <t>Allow</t>
        </is>
      </c>
      <c r="EA2" t="b">
        <v>0</v>
      </c>
      <c r="EB2" t="inlineStr">
        <is>
          <t>No</t>
        </is>
      </c>
      <c r="EE2" t="b">
        <v>0</v>
      </c>
      <c r="EF2" t="inlineStr">
        <is>
          <t>No</t>
        </is>
      </c>
      <c r="EJ2" t="inlineStr">
        <is>
          <t>951850001</t>
        </is>
      </c>
      <c r="EK2" t="inlineStr">
        <is>
          <t>Practitioner</t>
        </is>
      </c>
      <c r="EL2" s="3">
        <v>45496.09375</v>
      </c>
      <c r="EM2" s="3">
        <v>93138.99998842593</v>
      </c>
      <c r="EO2" t="b">
        <v>0</v>
      </c>
      <c r="EP2" t="inlineStr">
        <is>
          <t>No</t>
        </is>
      </c>
      <c r="ES2" t="inlineStr" s="6">
        <f>HYPERLINK("https://metagenicsd365.crm6.dynamics.com/main.aspx?etn=account&amp;pagetype=entityrecord&amp;id=f5bf2acc-84a7-e911-a875-000d3ae104e7","f5bf2acc-84a7-e911-a875-000d3ae104e7")</f>
        <v>f5bf2acc-84a7-e911-a875-000d3ae104e7</v>
      </c>
      <c r="ET2" t="inlineStr">
        <is>
          <t>PATRICIA MCNAB</t>
        </is>
      </c>
      <c r="EU2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2" t="inlineStr">
        <is>
          <t>Australia</t>
        </is>
      </c>
      <c r="EW2">
        <v>951850004</v>
      </c>
      <c r="EX2" t="inlineStr">
        <is>
          <t>PRA02</t>
        </is>
      </c>
      <c r="EY2" t="inlineStr" s="6">
        <f>HYPERLINK("https://metagenicsd365.crm6.dynamics.com/main.aspx?etn=meta_postcode&amp;pagetype=entityrecord&amp;id=f0778f70-b2a7-e911-a873-000d3ae10cf1","f0778f70-b2a7-e911-a873-000d3ae10cf1")</f>
        <v>f0778f70-b2a7-e911-a873-000d3ae10cf1</v>
      </c>
      <c r="EZ2" t="inlineStr">
        <is>
          <t>4054</t>
        </is>
      </c>
      <c r="FA2" t="inlineStr" s="6">
        <f>HYPERLINK("https://metagenicsd365.crm6.dynamics.com/main.aspx?etn=meta_suburb&amp;pagetype=entityrecord&amp;id=33d91daf-b4a7-e911-a886-000d3ae106b8","33d91daf-b4a7-e911-a886-000d3ae106b8")</f>
        <v>33d91daf-b4a7-e911-a886-000d3ae106b8</v>
      </c>
      <c r="FB2" t="inlineStr">
        <is>
          <t>ARANA HILLS</t>
        </is>
      </c>
      <c r="FC2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2" t="inlineStr">
        <is>
          <t>Australia</t>
        </is>
      </c>
      <c r="FE2" t="inlineStr">
        <is>
          <t>0000000000000003999</t>
        </is>
      </c>
      <c r="FM2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2" t="inlineStr">
        <is>
          <t>Australia</t>
        </is>
      </c>
      <c r="FO2" t="b">
        <v>1</v>
      </c>
      <c r="FP2" t="inlineStr">
        <is>
          <t>Yes</t>
        </is>
      </c>
      <c r="FQ2" t="inlineStr">
        <is>
          <t>PRACS</t>
        </is>
      </c>
      <c r="FW2" t="b">
        <v>0</v>
      </c>
      <c r="FX2" t="inlineStr">
        <is>
          <t>No</t>
        </is>
      </c>
      <c r="GA2" t="inlineStr">
        <is>
          <t>ABL9981574</t>
        </is>
      </c>
      <c r="GD2">
        <v>951850000</v>
      </c>
      <c r="GE2" t="inlineStr">
        <is>
          <t>Pending</t>
        </is>
      </c>
      <c r="GF2">
        <v>0.0000</v>
      </c>
      <c r="GG2">
        <v>0.0000</v>
      </c>
      <c r="GH2" s="3">
        <v>46122.659502314818</v>
      </c>
      <c r="GI2">
        <v>1</v>
      </c>
      <c r="GJ2" t="b">
        <v>1</v>
      </c>
      <c r="GK2" t="inlineStr">
        <is>
          <t>Yes</t>
        </is>
      </c>
      <c r="GO2" s="3">
        <v>46122.659502314818</v>
      </c>
      <c r="GR2" s="3">
        <v>46122.659502314818</v>
      </c>
      <c r="GU2" s="3">
        <v>46122.659502314818</v>
      </c>
      <c r="GY2" t="inlineStr">
        <is>
          <t>000000003999</t>
        </is>
      </c>
      <c r="GZ2" t="inlineStr">
        <is>
          <t>ABL9981574</t>
        </is>
      </c>
      <c r="HB2" t="inlineStr">
        <is>
          <t>PATRICIA MCNAB</t>
        </is>
      </c>
      <c r="HI2">
        <v>0.0000</v>
      </c>
      <c r="HJ2">
        <v>0.0000</v>
      </c>
      <c r="HK2" s="3">
        <v>46122.659502314818</v>
      </c>
      <c r="HL2">
        <v>1</v>
      </c>
      <c r="HM2">
        <v>0.0000</v>
      </c>
      <c r="HN2">
        <v>0.0000</v>
      </c>
      <c r="HO2" s="3">
        <v>46122.659502314818</v>
      </c>
      <c r="HP2">
        <v>1</v>
      </c>
      <c r="HX2" t="inlineStr" s="6">
        <f>HYPERLINK("https://metagenicsd365.crm6.dynamics.com/main.aspx?etn=meta_paymentterm&amp;pagetype=entityrecord&amp;id=0768c959-38ba-eb11-8236-00224817f624","0768c959-38ba-eb11-8236-00224817f624")</f>
        <v>0768c959-38ba-eb11-8236-00224817f624</v>
      </c>
      <c r="HY2" t="inlineStr">
        <is>
          <t>Net 30 Days End of Month</t>
        </is>
      </c>
      <c r="IC2" t="inlineStr">
        <is>
          <t>QLD</t>
        </is>
      </c>
      <c r="ID2" t="inlineStr">
        <is>
          <t>12 STRATHMERE PLACE</t>
        </is>
      </c>
      <c r="IE2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2" t="inlineStr">
        <is>
          <t>Australia</t>
        </is>
      </c>
      <c r="IG2" t="inlineStr" s="6">
        <f>HYPERLINK("https://metagenicsd365.crm6.dynamics.com/main.aspx?etn=meta_postcode&amp;pagetype=entityrecord&amp;id=8e5ead81-b2a7-e911-a875-000d3ae104e7","8e5ead81-b2a7-e911-a875-000d3ae104e7")</f>
        <v>8e5ead81-b2a7-e911-a875-000d3ae104e7</v>
      </c>
      <c r="IH2" t="inlineStr">
        <is>
          <t>4055</t>
        </is>
      </c>
      <c r="II2" t="inlineStr" s="6">
        <f>HYPERLINK("https://metagenicsd365.crm6.dynamics.com/main.aspx?etn=meta_suburb&amp;pagetype=entityrecord&amp;id=5deb6cd4-b4a7-e911-a886-000d3ae106b8","5deb6cd4-b4a7-e911-a886-000d3ae106b8")</f>
        <v>5deb6cd4-b4a7-e911-a886-000d3ae106b8</v>
      </c>
      <c r="IJ2" t="inlineStr">
        <is>
          <t>UPPER KEDRON</t>
        </is>
      </c>
      <c r="IK2" t="inlineStr" s="6">
        <f>HYPERLINK("https://metagenicsd365.crm6.dynamics.com/main.aspx?etn=meta_postcode&amp;pagetype=entityrecord&amp;id=8e5ead81-b2a7-e911-a875-000d3ae104e7","8e5ead81-b2a7-e911-a875-000d3ae104e7")</f>
        <v>8e5ead81-b2a7-e911-a875-000d3ae104e7</v>
      </c>
      <c r="IL2" t="inlineStr">
        <is>
          <t>4055</t>
        </is>
      </c>
      <c r="IM2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2" t="inlineStr">
        <is>
          <t># HWORLD</t>
        </is>
      </c>
      <c r="IO2" t="inlineStr" s="6">
        <f>HYPERLINK("https://metagenicsd365.crm6.dynamics.com/main.aspx?etn=meta_segment&amp;pagetype=entityrecord&amp;id=2a502c7c-0340-f011-8779-6045bd40364e","2a502c7c-0340-f011-8779-6045bd40364e")</f>
        <v>2a502c7c-0340-f011-8779-6045bd40364e</v>
      </c>
      <c r="IP2" t="inlineStr">
        <is>
          <t>21 - Outbound Practitioner Head Office Contact</t>
        </is>
      </c>
      <c r="IQ2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2" t="inlineStr">
        <is>
          <t>APH0</t>
        </is>
      </c>
      <c r="IZ2">
        <v>951850001</v>
      </c>
      <c r="JA2" t="inlineStr">
        <is>
          <t>Location</t>
        </is>
      </c>
      <c r="JE2" t="b">
        <v>0</v>
      </c>
      <c r="JF2" t="inlineStr">
        <is>
          <t>No</t>
        </is>
      </c>
      <c r="JT2">
        <v>951850001</v>
      </c>
      <c r="JU2" t="inlineStr">
        <is>
          <t>EXP - Standard Shipping</t>
        </is>
      </c>
      <c r="JY2" t="inlineStr" s="6">
        <f>HYPERLINK("https://metagenicsd365.crm6.dynamics.com/main.aspx?etn=meta_suburb&amp;pagetype=entityrecord&amp;id=5deb6cd4-b4a7-e911-a886-000d3ae106b8","5deb6cd4-b4a7-e911-a886-000d3ae106b8")</f>
        <v>5deb6cd4-b4a7-e911-a886-000d3ae106b8</v>
      </c>
      <c r="JZ2" t="inlineStr">
        <is>
          <t>UPPER KEDRON</t>
        </is>
      </c>
      <c r="KB2">
        <v>0.0000</v>
      </c>
      <c r="KC2">
        <v>0.0000</v>
      </c>
      <c r="KD2" s="3">
        <v>46122.659502314818</v>
      </c>
      <c r="KE2">
        <v>1</v>
      </c>
      <c r="KF2">
        <v>0.0000</v>
      </c>
      <c r="KG2">
        <v>0.0000</v>
      </c>
      <c r="KH2" s="3">
        <v>46122.659502314818</v>
      </c>
      <c r="KI2">
        <v>1</v>
      </c>
      <c r="KJ2">
        <v>0.0000</v>
      </c>
      <c r="KK2">
        <v>0.0000</v>
      </c>
      <c r="KL2" s="3">
        <v>46122.659502314818</v>
      </c>
      <c r="KM2">
        <v>1</v>
      </c>
      <c r="KN2" t="b">
        <v>0</v>
      </c>
      <c r="KO2" t="inlineStr">
        <is>
          <t>No</t>
        </is>
      </c>
      <c r="KP2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2" t="inlineStr">
        <is>
          <t>Sriganesh Subramanian</t>
        </is>
      </c>
      <c r="KT2" s="3">
        <v>46086.472951388889</v>
      </c>
      <c r="LA2" t="b">
        <v>0</v>
      </c>
      <c r="LB2" t="inlineStr">
        <is>
          <t>No</t>
        </is>
      </c>
      <c r="LH2" t="inlineStr">
        <is>
          <t>PATRICIA MCNAB</t>
        </is>
      </c>
      <c r="LO2">
        <v>0</v>
      </c>
      <c r="LP2" s="3">
        <v>46122.659502314818</v>
      </c>
      <c r="LQ2">
        <v>1</v>
      </c>
      <c r="LR2">
        <v>0.0000</v>
      </c>
      <c r="LS2">
        <v>0.0000</v>
      </c>
      <c r="LT2" s="3">
        <v>46122.659502314818</v>
      </c>
      <c r="LU2">
        <v>1</v>
      </c>
      <c r="LY2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2" t="inlineStr">
        <is>
          <t>Australia</t>
        </is>
      </c>
      <c r="MA2" t="inlineStr">
        <is>
          <t>team</t>
        </is>
      </c>
      <c r="MD2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2" t="inlineStr">
        <is>
          <t>Australia</t>
        </is>
      </c>
      <c r="MF2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J2" t="inlineStr" s="6">
        <f>HYPERLINK("https://metagenicsd365.crm6.dynamics.com/main.aspx?etn=account&amp;pagetype=entityrecord&amp;id=f5bf2acc-84a7-e911-a875-000d3ae104e7","f5bf2acc-84a7-e911-a875-000d3ae104e7")</f>
        <v>f5bf2acc-84a7-e911-a875-000d3ae104e7</v>
      </c>
      <c r="MK2" t="inlineStr">
        <is>
          <t>PATRICIA MCNAB</t>
        </is>
      </c>
      <c r="ML2" t="b">
        <v>0</v>
      </c>
      <c r="MM2" t="inlineStr">
        <is>
          <t>No</t>
        </is>
      </c>
      <c r="MT2">
        <v>1</v>
      </c>
      <c r="MU2" t="inlineStr">
        <is>
          <t>Any</t>
        </is>
      </c>
      <c r="NJ2">
        <v>1</v>
      </c>
      <c r="NK2" t="inlineStr">
        <is>
          <t>Airborne</t>
        </is>
      </c>
      <c r="NR2">
        <v>0</v>
      </c>
      <c r="NS2" t="inlineStr">
        <is>
          <t>Active</t>
        </is>
      </c>
      <c r="NT2">
        <v>1</v>
      </c>
      <c r="NU2" t="inlineStr">
        <is>
          <t>Active</t>
        </is>
      </c>
      <c r="NY2" t="inlineStr">
        <is>
          <t>0408 366 717</t>
        </is>
      </c>
      <c r="OA2">
        <v>1</v>
      </c>
      <c r="OB2" t="inlineStr">
        <is>
          <t>Default Value</t>
        </is>
      </c>
      <c r="OG2">
        <v>0</v>
      </c>
      <c r="OH2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2" t="inlineStr">
        <is>
          <t>Australian Dollar</t>
        </is>
      </c>
      <c r="OL2" t="inlineStr">
        <is>
          <t>0x000000003D839F8C</t>
        </is>
      </c>
    </row>
    <row r="3">
      <c r="C3">
        <v>1</v>
      </c>
      <c r="D3" t="inlineStr">
        <is>
          <t>Default Value</t>
        </is>
      </c>
      <c r="E3" t="inlineStr" s="6">
        <f>HYPERLINK("https://metagenicsd365.crm6.dynamics.com/main.aspx?etn=account&amp;pagetype=entityrecord&amp;id=4fcad380-b048-ef11-a316-000d3a791f7f","4fcad380-b048-ef11-a316-000d3a791f7f")</f>
        <v>4fcad380-b048-ef11-a316-000d3a791f7f</v>
      </c>
      <c r="F3" t="inlineStr">
        <is>
          <t>000001059261</t>
        </is>
      </c>
      <c r="G3">
        <v>1</v>
      </c>
      <c r="H3" t="inlineStr">
        <is>
          <t>Default Value</t>
        </is>
      </c>
      <c r="I3" t="inlineStr" s="6">
        <f>HYPERLINK("https://metagenicsd365.crm6.dynamics.com/main.aspx?etn=account&amp;pagetype=entityrecord&amp;id=b1abac02-933c-4d9a-9b43-8aef4776f8ec","b1abac02-933c-4d9a-9b43-8aef4776f8ec")</f>
        <v>b1abac02-933c-4d9a-9b43-8aef4776f8ec</v>
      </c>
      <c r="L3" t="inlineStr">
        <is>
          <t>/meta_suburbs(7c456571-b4a7-e911-a886-000d3ae106b8)</t>
        </is>
      </c>
      <c r="M3" t="inlineStr">
        <is>
          <t>3 BREEZE COURT
/meta_suburbs(7c456571-b4a7-e911-a886-000d3ae106b8), NSW</t>
        </is>
      </c>
      <c r="T3" t="inlineStr">
        <is>
          <t>3 BREEZE COURT</t>
        </is>
      </c>
      <c r="AD3" t="inlineStr">
        <is>
          <t>NSW</t>
        </is>
      </c>
      <c r="AE3" t="inlineStr">
        <is>
          <t>0421 351 014</t>
        </is>
      </c>
      <c r="AJ3" t="inlineStr" s="6">
        <f>HYPERLINK("https://metagenicsd365.crm6.dynamics.com/main.aspx?etn=account&amp;pagetype=entityrecord&amp;id=323f4005-52b3-4c3f-adc2-f3ca808c6c7e","323f4005-52b3-4c3f-adc2-f3ca808c6c7e")</f>
        <v>323f4005-52b3-4c3f-adc2-f3ca808c6c7e</v>
      </c>
      <c r="AK3">
        <v>1</v>
      </c>
      <c r="AL3" t="inlineStr">
        <is>
          <t>Default Value</t>
        </is>
      </c>
      <c r="AM3" t="inlineStr">
        <is>
          <t>/meta_suburbs(7c456571-b4a7-e911-a886-000d3ae106b8)</t>
        </is>
      </c>
      <c r="AN3" t="inlineStr">
        <is>
          <t>3 BREEZE COURT
/meta_suburbs(7c456571-b4a7-e911-a886-000d3ae106b8), QLD</t>
        </is>
      </c>
      <c r="AR3">
        <v>1</v>
      </c>
      <c r="AS3" t="inlineStr">
        <is>
          <t>Default Value</t>
        </is>
      </c>
      <c r="AU3" t="inlineStr">
        <is>
          <t>3 BREEZE COURT</t>
        </is>
      </c>
      <c r="BC3">
        <v>1</v>
      </c>
      <c r="BD3" t="inlineStr">
        <is>
          <t>Default Value</t>
        </is>
      </c>
      <c r="BE3" t="inlineStr">
        <is>
          <t>QLD</t>
        </is>
      </c>
      <c r="BU3">
        <v>1</v>
      </c>
      <c r="BV3" t="inlineStr">
        <is>
          <t>Default Value</t>
        </is>
      </c>
      <c r="BY3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3" t="inlineStr">
        <is>
          <t>SVC_D365_CE #</t>
        </is>
      </c>
      <c r="CC3" s="3">
        <v>45496.208865740744</v>
      </c>
      <c r="CH3" t="b">
        <v>0</v>
      </c>
      <c r="CI3" t="inlineStr">
        <is>
          <t>No</t>
        </is>
      </c>
      <c r="CJ3">
        <v>1</v>
      </c>
      <c r="CK3" t="inlineStr">
        <is>
          <t>Default Value</t>
        </is>
      </c>
      <c r="CN3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3" t="inlineStr">
        <is>
          <t>All Products Australia</t>
        </is>
      </c>
      <c r="CQ3" t="b">
        <v>0</v>
      </c>
      <c r="CR3" t="inlineStr">
        <is>
          <t>Allow</t>
        </is>
      </c>
      <c r="CS3" t="b">
        <v>0</v>
      </c>
      <c r="CT3" t="inlineStr">
        <is>
          <t>No</t>
        </is>
      </c>
      <c r="CU3" t="b">
        <v>0</v>
      </c>
      <c r="CV3" t="inlineStr">
        <is>
          <t>Allow</t>
        </is>
      </c>
      <c r="CW3" t="b">
        <v>0</v>
      </c>
      <c r="CX3" t="inlineStr">
        <is>
          <t>Allow</t>
        </is>
      </c>
      <c r="CY3" t="b">
        <v>0</v>
      </c>
      <c r="CZ3" t="inlineStr">
        <is>
          <t>Allow</t>
        </is>
      </c>
      <c r="DA3" t="b">
        <v>0</v>
      </c>
      <c r="DB3" t="inlineStr">
        <is>
          <t>Allow</t>
        </is>
      </c>
      <c r="DC3" t="b">
        <v>0</v>
      </c>
      <c r="DD3" t="inlineStr">
        <is>
          <t>Send</t>
        </is>
      </c>
      <c r="DE3" t="inlineStr">
        <is>
          <t>lisa.dietitian@lmdietetics.com.au</t>
        </is>
      </c>
      <c r="DF3" t="inlineStr">
        <is>
          <t>lisa.dietitian@lmdietetics.com.au</t>
        </is>
      </c>
      <c r="DO3">
        <v>1.0000000000</v>
      </c>
      <c r="DQ3" t="b">
        <v>1</v>
      </c>
      <c r="DR3" t="inlineStr">
        <is>
          <t>Allow</t>
        </is>
      </c>
      <c r="EA3" t="b">
        <v>0</v>
      </c>
      <c r="EB3" t="inlineStr">
        <is>
          <t>No</t>
        </is>
      </c>
      <c r="EE3" t="b">
        <v>0</v>
      </c>
      <c r="EF3" t="inlineStr">
        <is>
          <t>No</t>
        </is>
      </c>
      <c r="EG3" t="inlineStr">
        <is>
          <t>No</t>
        </is>
      </c>
      <c r="EJ3" t="inlineStr">
        <is>
          <t>951850001</t>
        </is>
      </c>
      <c r="EK3" t="inlineStr">
        <is>
          <t>Practitioner</t>
        </is>
      </c>
      <c r="EL3" s="3">
        <v>45496.201168981483</v>
      </c>
      <c r="EM3" s="3">
        <v>93138.99998842593</v>
      </c>
      <c r="EN3" t="inlineStr">
        <is>
          <t>PRAC</t>
        </is>
      </c>
      <c r="EO3" t="b">
        <v>0</v>
      </c>
      <c r="EP3" t="inlineStr">
        <is>
          <t>No</t>
        </is>
      </c>
      <c r="EQ3" t="inlineStr">
        <is>
          <t>No</t>
        </is>
      </c>
      <c r="EU3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3" t="inlineStr">
        <is>
          <t>Australia</t>
        </is>
      </c>
      <c r="EW3">
        <v>951850003</v>
      </c>
      <c r="EX3" t="inlineStr">
        <is>
          <t>PRA01</t>
        </is>
      </c>
      <c r="EY3" t="inlineStr" s="6">
        <f>HYPERLINK("https://metagenicsd365.crm6.dynamics.com/main.aspx?etn=meta_postcode&amp;pagetype=entityrecord&amp;id=7ddf664c-b2a7-e911-a873-000d3ae10139","7ddf664c-b2a7-e911-a873-000d3ae10139")</f>
        <v>7ddf664c-b2a7-e911-a873-000d3ae10139</v>
      </c>
      <c r="EZ3" t="inlineStr">
        <is>
          <t>4510</t>
        </is>
      </c>
      <c r="FA3" t="inlineStr" s="6">
        <f>HYPERLINK("https://metagenicsd365.crm6.dynamics.com/main.aspx?etn=meta_suburb&amp;pagetype=entityrecord&amp;id=7c456571-b4a7-e911-a886-000d3ae106b8","7c456571-b4a7-e911-a886-000d3ae106b8")</f>
        <v>7c456571-b4a7-e911-a886-000d3ae106b8</v>
      </c>
      <c r="FB3" t="inlineStr">
        <is>
          <t>CABOOLTURE</t>
        </is>
      </c>
      <c r="FC3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3" t="inlineStr">
        <is>
          <t>Australia</t>
        </is>
      </c>
      <c r="FE3" t="inlineStr">
        <is>
          <t>0000000000001059261</t>
        </is>
      </c>
      <c r="FM3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3" t="inlineStr">
        <is>
          <t>Australia</t>
        </is>
      </c>
      <c r="FO3" t="b">
        <v>1</v>
      </c>
      <c r="FP3" t="inlineStr">
        <is>
          <t>Yes</t>
        </is>
      </c>
      <c r="FQ3" t="inlineStr">
        <is>
          <t>PRACS</t>
        </is>
      </c>
      <c r="FW3" t="b">
        <v>0</v>
      </c>
      <c r="FX3" t="inlineStr">
        <is>
          <t>No</t>
        </is>
      </c>
      <c r="GA3" t="inlineStr">
        <is>
          <t>ABL9982232</t>
        </is>
      </c>
      <c r="GD3">
        <v>951850000</v>
      </c>
      <c r="GE3" t="inlineStr">
        <is>
          <t>Pending</t>
        </is>
      </c>
      <c r="GF3">
        <v>0.0000</v>
      </c>
      <c r="GG3">
        <v>0.0000</v>
      </c>
      <c r="GH3" s="3">
        <v>46122.659502314818</v>
      </c>
      <c r="GI3">
        <v>1</v>
      </c>
      <c r="GJ3" t="b">
        <v>1</v>
      </c>
      <c r="GK3" t="inlineStr">
        <is>
          <t>Yes</t>
        </is>
      </c>
      <c r="GO3" s="3">
        <v>46122.659502314818</v>
      </c>
      <c r="GR3" s="3">
        <v>46122.659502314818</v>
      </c>
      <c r="GU3" s="3">
        <v>46122.659502314818</v>
      </c>
      <c r="GY3" t="inlineStr">
        <is>
          <t>000001059261</t>
        </is>
      </c>
      <c r="HB3" t="inlineStr">
        <is>
          <t>LISA McGUINNESS - LM DIETETICS</t>
        </is>
      </c>
      <c r="HI3">
        <v>0.0000</v>
      </c>
      <c r="HK3" s="3">
        <v>46122.659502314818</v>
      </c>
      <c r="HL3">
        <v>1</v>
      </c>
      <c r="HM3">
        <v>0.0000</v>
      </c>
      <c r="HO3" s="3">
        <v>46122.659502314818</v>
      </c>
      <c r="HP3">
        <v>1</v>
      </c>
      <c r="HX3" t="inlineStr" s="6">
        <f>HYPERLINK("https://metagenicsd365.crm6.dynamics.com/main.aspx?etn=meta_paymentterm&amp;pagetype=entityrecord&amp;id=31971c9d-38ba-eb11-8236-00224817f624","31971c9d-38ba-eb11-8236-00224817f624")</f>
        <v>31971c9d-38ba-eb11-8236-00224817f624</v>
      </c>
      <c r="HY3" t="inlineStr">
        <is>
          <t>Cash</t>
        </is>
      </c>
      <c r="IC3" t="inlineStr">
        <is>
          <t>QLD</t>
        </is>
      </c>
      <c r="ID3" t="inlineStr">
        <is>
          <t>3 BREEZE COURT</t>
        </is>
      </c>
      <c r="IE3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3" t="inlineStr">
        <is>
          <t>Australia</t>
        </is>
      </c>
      <c r="IG3" t="inlineStr" s="6">
        <f>HYPERLINK("https://metagenicsd365.crm6.dynamics.com/main.aspx?etn=meta_postcode&amp;pagetype=entityrecord&amp;id=7ddf664c-b2a7-e911-a873-000d3ae10139","7ddf664c-b2a7-e911-a873-000d3ae10139")</f>
        <v>7ddf664c-b2a7-e911-a873-000d3ae10139</v>
      </c>
      <c r="IH3" t="inlineStr">
        <is>
          <t>4510</t>
        </is>
      </c>
      <c r="II3" t="inlineStr" s="6">
        <f>HYPERLINK("https://metagenicsd365.crm6.dynamics.com/main.aspx?etn=meta_suburb&amp;pagetype=entityrecord&amp;id=7c456571-b4a7-e911-a886-000d3ae106b8","7c456571-b4a7-e911-a886-000d3ae106b8")</f>
        <v>7c456571-b4a7-e911-a886-000d3ae106b8</v>
      </c>
      <c r="IJ3" t="inlineStr">
        <is>
          <t>CABOOLTURE</t>
        </is>
      </c>
      <c r="IK3" t="inlineStr" s="6">
        <f>HYPERLINK("https://metagenicsd365.crm6.dynamics.com/main.aspx?etn=meta_postcode&amp;pagetype=entityrecord&amp;id=44782e8c-b2a7-e911-a886-000d3ae106b8","44782e8c-b2a7-e911-a886-000d3ae106b8")</f>
        <v>44782e8c-b2a7-e911-a886-000d3ae106b8</v>
      </c>
      <c r="IL3" t="inlineStr">
        <is>
          <t>2140</t>
        </is>
      </c>
      <c r="IM3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3" t="inlineStr">
        <is>
          <t># HWORLD</t>
        </is>
      </c>
      <c r="IO3" t="inlineStr" s="6">
        <f>HYPERLINK("https://metagenicsd365.crm6.dynamics.com/main.aspx?etn=meta_segment&amp;pagetype=entityrecord&amp;id=44e3a56e-8030-eb11-a813-000d3ae15585","44e3a56e-8030-eb11-a813-000d3ae15585")</f>
        <v>44e3a56e-8030-eb11-a813-000d3ae15585</v>
      </c>
      <c r="IP3" t="inlineStr">
        <is>
          <t>10 - New accounts opened</t>
        </is>
      </c>
      <c r="IQ3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3" t="inlineStr">
        <is>
          <t>APH0</t>
        </is>
      </c>
      <c r="IW3" t="inlineStr" s="6">
        <f>HYPERLINK("https://metagenicsd365.crm6.dynamics.com/main.aspx?etn=meta_modality&amp;pagetype=entityrecord&amp;id=16846b9c-42a7-e911-a86f-000d3ae10f1f","16846b9c-42a7-e911-a86f-000d3ae10f1f")</f>
        <v>16846b9c-42a7-e911-a86f-000d3ae10f1f</v>
      </c>
      <c r="IX3" t="inlineStr">
        <is>
          <t>Dietician</t>
        </is>
      </c>
      <c r="IZ3">
        <v>951850000</v>
      </c>
      <c r="JA3" t="inlineStr">
        <is>
          <t>Billing</t>
        </is>
      </c>
      <c r="JE3" t="b">
        <v>0</v>
      </c>
      <c r="JF3" t="inlineStr">
        <is>
          <t>No</t>
        </is>
      </c>
      <c r="JT3">
        <v>951850001</v>
      </c>
      <c r="JU3" t="inlineStr">
        <is>
          <t>EXP - Standard Shipping</t>
        </is>
      </c>
      <c r="JY3" t="inlineStr" s="6">
        <f>HYPERLINK("https://metagenicsd365.crm6.dynamics.com/main.aspx?etn=meta_suburb&amp;pagetype=entityrecord&amp;id=47ab6d9e-b5a7-e911-a86f-000d3ae10f1f","47ab6d9e-b5a7-e911-a86f-000d3ae10f1f")</f>
        <v>47ab6d9e-b5a7-e911-a86f-000d3ae10f1f</v>
      </c>
      <c r="JZ3" t="inlineStr">
        <is>
          <t>HOMEBUSH</t>
        </is>
      </c>
      <c r="KB3">
        <v>0.0000</v>
      </c>
      <c r="KD3" s="3">
        <v>46122.659502314818</v>
      </c>
      <c r="KE3">
        <v>1</v>
      </c>
      <c r="KF3">
        <v>0.0000</v>
      </c>
      <c r="KH3" s="3">
        <v>46122.659502314818</v>
      </c>
      <c r="KI3">
        <v>1</v>
      </c>
      <c r="KJ3">
        <v>0.0000</v>
      </c>
      <c r="KL3" s="3">
        <v>46122.659502314818</v>
      </c>
      <c r="KM3">
        <v>1</v>
      </c>
      <c r="KN3" t="b">
        <v>0</v>
      </c>
      <c r="KO3" t="inlineStr">
        <is>
          <t>No</t>
        </is>
      </c>
      <c r="KP3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3" t="inlineStr">
        <is>
          <t>Sriganesh Subramanian</t>
        </is>
      </c>
      <c r="KT3" s="3">
        <v>46103.894270833334</v>
      </c>
      <c r="LA3" t="b">
        <v>0</v>
      </c>
      <c r="LB3" t="inlineStr">
        <is>
          <t>No</t>
        </is>
      </c>
      <c r="LH3" t="inlineStr">
        <is>
          <t>LISA McGUINNESS - LM DIETETICS</t>
        </is>
      </c>
      <c r="LO3">
        <v>0</v>
      </c>
      <c r="LP3" s="3">
        <v>46122.659502314818</v>
      </c>
      <c r="LQ3">
        <v>1</v>
      </c>
      <c r="LR3">
        <v>0.0000</v>
      </c>
      <c r="LS3">
        <v>0.0000</v>
      </c>
      <c r="LT3" s="3">
        <v>46122.659502314818</v>
      </c>
      <c r="LU3">
        <v>1</v>
      </c>
      <c r="LY3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3" t="inlineStr">
        <is>
          <t>Australia</t>
        </is>
      </c>
      <c r="MA3" t="inlineStr">
        <is>
          <t>team</t>
        </is>
      </c>
      <c r="MD3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3" t="inlineStr">
        <is>
          <t>Australia</t>
        </is>
      </c>
      <c r="MF3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L3" t="b">
        <v>0</v>
      </c>
      <c r="MM3" t="inlineStr">
        <is>
          <t>No</t>
        </is>
      </c>
      <c r="MT3">
        <v>1</v>
      </c>
      <c r="MU3" t="inlineStr">
        <is>
          <t>Any</t>
        </is>
      </c>
      <c r="NB3" t="inlineStr" s="6">
        <f>HYPERLINK("https://metagenicsd365.crm6.dynamics.com/main.aspx?etn=contact&amp;pagetype=entityrecord&amp;id=16f0db7e-b048-ef11-a316-6045bd3cff0f","16f0db7e-b048-ef11-a316-6045bd3cff0f")</f>
        <v>16f0db7e-b048-ef11-a316-6045bd3cff0f</v>
      </c>
      <c r="NC3" t="inlineStr">
        <is>
          <t>LISA McGUINNESS DIETITIAN</t>
        </is>
      </c>
      <c r="NJ3">
        <v>1</v>
      </c>
      <c r="NK3" t="inlineStr">
        <is>
          <t>Airborne</t>
        </is>
      </c>
      <c r="NR3">
        <v>0</v>
      </c>
      <c r="NS3" t="inlineStr">
        <is>
          <t>Active</t>
        </is>
      </c>
      <c r="NT3">
        <v>1</v>
      </c>
      <c r="NU3" t="inlineStr">
        <is>
          <t>Active</t>
        </is>
      </c>
      <c r="NX3" t="inlineStr">
        <is>
          <t>0421 351 014</t>
        </is>
      </c>
      <c r="NY3" t="inlineStr">
        <is>
          <t>0421 351 014</t>
        </is>
      </c>
      <c r="OA3">
        <v>1</v>
      </c>
      <c r="OB3" t="inlineStr">
        <is>
          <t>Default Value</t>
        </is>
      </c>
      <c r="OG3">
        <v>0</v>
      </c>
      <c r="OH3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3" t="inlineStr">
        <is>
          <t>Australian Dollar</t>
        </is>
      </c>
      <c r="OL3" t="inlineStr">
        <is>
          <t>0x000000003E300548</t>
        </is>
      </c>
    </row>
    <row r="4">
      <c r="C4">
        <v>1</v>
      </c>
      <c r="D4" t="inlineStr">
        <is>
          <t>Default Value</t>
        </is>
      </c>
      <c r="E4" t="inlineStr" s="6">
        <f>HYPERLINK("https://metagenicsd365.crm6.dynamics.com/main.aspx?etn=account&amp;pagetype=entityrecord&amp;id=69d46c0b-f798-f011-b41c-000d3a792420","69d46c0b-f798-f011-b41c-000d3a792420")</f>
        <v>69d46c0b-f798-f011-b41c-000d3a792420</v>
      </c>
      <c r="F4" t="inlineStr">
        <is>
          <t>000001279570</t>
        </is>
      </c>
      <c r="G4">
        <v>1</v>
      </c>
      <c r="H4" t="inlineStr">
        <is>
          <t>Default Value</t>
        </is>
      </c>
      <c r="I4" t="inlineStr" s="6">
        <f>HYPERLINK("https://metagenicsd365.crm6.dynamics.com/main.aspx?etn=account&amp;pagetype=entityrecord&amp;id=1cb14402-96b2-4094-9979-ebb3ee1564bd","1cb14402-96b2-4094-9979-ebb3ee1564bd")</f>
        <v>1cb14402-96b2-4094-9979-ebb3ee1564bd</v>
      </c>
      <c r="L4" t="inlineStr">
        <is>
          <t>/meta_suburbs(f5dc0ee6-b3a7-e911-a862-000d3ae10c61)</t>
        </is>
      </c>
      <c r="M4" t="inlineStr">
        <is>
          <t>Shop 12-14 Lillybrook Shopping Centre, 118 Old Gympie Road
/meta_suburbs(f5dc0ee6-b3a7-e911-a862-000d3ae10c61), QLD</t>
        </is>
      </c>
      <c r="T4" t="inlineStr">
        <is>
          <t>Shop 12-14 Lillybrook Shopping Centre, 118 Old Gympie Road</t>
        </is>
      </c>
      <c r="AD4" t="inlineStr">
        <is>
          <t>QLD</t>
        </is>
      </c>
      <c r="AE4" t="inlineStr">
        <is>
          <t>0734918491</t>
        </is>
      </c>
      <c r="AJ4" t="inlineStr" s="6">
        <f>HYPERLINK("https://metagenicsd365.crm6.dynamics.com/main.aspx?etn=account&amp;pagetype=entityrecord&amp;id=f8b65cb0-4645-410f-8706-29fa4491163f","f8b65cb0-4645-410f-8706-29fa4491163f")</f>
        <v>f8b65cb0-4645-410f-8706-29fa4491163f</v>
      </c>
      <c r="AK4">
        <v>1</v>
      </c>
      <c r="AL4" t="inlineStr">
        <is>
          <t>Default Value</t>
        </is>
      </c>
      <c r="AM4" t="inlineStr">
        <is>
          <t>/meta_suburbs(f5dc0ee6-b3a7-e911-a862-000d3ae10c61)</t>
        </is>
      </c>
      <c r="AN4" t="inlineStr">
        <is>
          <t>Shop 12-14 Lillybrook Shopping Centre, 118 Old Gympie Road
/meta_suburbs(f5dc0ee6-b3a7-e911-a862-000d3ae10c61), QLD</t>
        </is>
      </c>
      <c r="AR4">
        <v>1</v>
      </c>
      <c r="AS4" t="inlineStr">
        <is>
          <t>Default Value</t>
        </is>
      </c>
      <c r="AU4" t="inlineStr">
        <is>
          <t>Shop 12-14 Lillybrook Shopping Centre, 118 Old Gympie Road</t>
        </is>
      </c>
      <c r="BC4">
        <v>1</v>
      </c>
      <c r="BD4" t="inlineStr">
        <is>
          <t>Default Value</t>
        </is>
      </c>
      <c r="BE4" t="inlineStr">
        <is>
          <t>QLD</t>
        </is>
      </c>
      <c r="BU4">
        <v>1</v>
      </c>
      <c r="BV4" t="inlineStr">
        <is>
          <t>Default Value</t>
        </is>
      </c>
      <c r="BY4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4" t="inlineStr">
        <is>
          <t>SVC_D365_CE #</t>
        </is>
      </c>
      <c r="CC4" s="3">
        <v>45924.147349537037</v>
      </c>
      <c r="CH4" t="b">
        <v>0</v>
      </c>
      <c r="CI4" t="inlineStr">
        <is>
          <t>No</t>
        </is>
      </c>
      <c r="CJ4">
        <v>1</v>
      </c>
      <c r="CK4" t="inlineStr">
        <is>
          <t>Default Value</t>
        </is>
      </c>
      <c r="CN4" t="inlineStr" s="6">
        <f>HYPERLINK("https://metagenicsd365.crm6.dynamics.com/main.aspx?etn=pricelevel&amp;pagetype=entityrecord&amp;id=10e3d934-44a7-e911-a86f-000d3ae10f1f","10e3d934-44a7-e911-a86f-000d3ae10f1f")</f>
        <v>10e3d934-44a7-e911-a86f-000d3ae10f1f</v>
      </c>
      <c r="CO4" t="inlineStr">
        <is>
          <t>Retail Products Australia</t>
        </is>
      </c>
      <c r="CQ4" t="b">
        <v>0</v>
      </c>
      <c r="CR4" t="inlineStr">
        <is>
          <t>Allow</t>
        </is>
      </c>
      <c r="CS4" t="b">
        <v>0</v>
      </c>
      <c r="CT4" t="inlineStr">
        <is>
          <t>No</t>
        </is>
      </c>
      <c r="CU4" t="b">
        <v>0</v>
      </c>
      <c r="CV4" t="inlineStr">
        <is>
          <t>Allow</t>
        </is>
      </c>
      <c r="CW4" t="b">
        <v>0</v>
      </c>
      <c r="CX4" t="inlineStr">
        <is>
          <t>Allow</t>
        </is>
      </c>
      <c r="CY4" t="b">
        <v>0</v>
      </c>
      <c r="CZ4" t="inlineStr">
        <is>
          <t>Allow</t>
        </is>
      </c>
      <c r="DA4" t="b">
        <v>0</v>
      </c>
      <c r="DB4" t="inlineStr">
        <is>
          <t>Allow</t>
        </is>
      </c>
      <c r="DC4" t="b">
        <v>0</v>
      </c>
      <c r="DD4" t="inlineStr">
        <is>
          <t>Send</t>
        </is>
      </c>
      <c r="DE4" t="inlineStr">
        <is>
          <t>lillybrook@udc.net.au</t>
        </is>
      </c>
      <c r="DF4" t="inlineStr">
        <is>
          <t>lillybrook@udc.net.au</t>
        </is>
      </c>
      <c r="DO4">
        <v>1.0000000000</v>
      </c>
      <c r="DQ4" t="b">
        <v>1</v>
      </c>
      <c r="DR4" t="inlineStr">
        <is>
          <t>Allow</t>
        </is>
      </c>
      <c r="EA4" t="b">
        <v>0</v>
      </c>
      <c r="EB4" t="inlineStr">
        <is>
          <t>No</t>
        </is>
      </c>
      <c r="EE4" t="b">
        <v>0</v>
      </c>
      <c r="EF4" t="inlineStr">
        <is>
          <t>No</t>
        </is>
      </c>
      <c r="EG4" t="inlineStr">
        <is>
          <t>No</t>
        </is>
      </c>
      <c r="EJ4" t="inlineStr">
        <is>
          <t>951850000</t>
        </is>
      </c>
      <c r="EK4" t="inlineStr">
        <is>
          <t>Retail</t>
        </is>
      </c>
      <c r="EN4" t="inlineStr">
        <is>
          <t>Retail</t>
        </is>
      </c>
      <c r="EO4" t="b">
        <v>0</v>
      </c>
      <c r="EP4" t="inlineStr">
        <is>
          <t>No</t>
        </is>
      </c>
      <c r="EQ4" t="inlineStr">
        <is>
          <t>No</t>
        </is>
      </c>
      <c r="EU4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4" t="inlineStr">
        <is>
          <t>Australia</t>
        </is>
      </c>
      <c r="EW4">
        <v>951850014</v>
      </c>
      <c r="EX4" t="inlineStr">
        <is>
          <t>RETON</t>
        </is>
      </c>
      <c r="EY4" t="inlineStr" s="6">
        <f>HYPERLINK("https://metagenicsd365.crm6.dynamics.com/main.aspx?etn=meta_postcode&amp;pagetype=entityrecord&amp;id=d5b13534-b2a7-e911-a873-000d3ae10139","d5b13534-b2a7-e911-a873-000d3ae10139")</f>
        <v>d5b13534-b2a7-e911-a873-000d3ae10139</v>
      </c>
      <c r="EZ4" t="inlineStr">
        <is>
          <t>4503</t>
        </is>
      </c>
      <c r="FA4" t="inlineStr" s="6">
        <f>HYPERLINK("https://metagenicsd365.crm6.dynamics.com/main.aspx?etn=meta_suburb&amp;pagetype=entityrecord&amp;id=f5dc0ee6-b3a7-e911-a862-000d3ae10c61","f5dc0ee6-b3a7-e911-a862-000d3ae10c61")</f>
        <v>f5dc0ee6-b3a7-e911-a862-000d3ae10c61</v>
      </c>
      <c r="FB4" t="inlineStr">
        <is>
          <t>KALLANGUR</t>
        </is>
      </c>
      <c r="FC4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4" t="inlineStr">
        <is>
          <t>Australia</t>
        </is>
      </c>
      <c r="FE4" t="inlineStr">
        <is>
          <t>0000000000001279570</t>
        </is>
      </c>
      <c r="FM4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4" t="inlineStr">
        <is>
          <t>Australia</t>
        </is>
      </c>
      <c r="FO4" t="b">
        <v>1</v>
      </c>
      <c r="FP4" t="inlineStr">
        <is>
          <t>Yes</t>
        </is>
      </c>
      <c r="FQ4" t="inlineStr">
        <is>
          <t>RETON</t>
        </is>
      </c>
      <c r="FU4" t="b">
        <v>0</v>
      </c>
      <c r="FV4" t="inlineStr">
        <is>
          <t>No</t>
        </is>
      </c>
      <c r="FW4" t="b">
        <v>0</v>
      </c>
      <c r="FX4" t="inlineStr">
        <is>
          <t>No</t>
        </is>
      </c>
      <c r="GA4" t="inlineStr">
        <is>
          <t>ABL12822846</t>
        </is>
      </c>
      <c r="GB4" t="inlineStr" s="6">
        <f>HYPERLINK("https://metagenicsd365.crm6.dynamics.com/main.aspx?etn=meta_group&amp;pagetype=entityrecord&amp;id=e1ca82f8-b1a7-e911-a886-000d3ae106b8","e1ca82f8-b1a7-e911-a886-000d3ae106b8")</f>
        <v>e1ca82f8-b1a7-e911-a886-000d3ae106b8</v>
      </c>
      <c r="GC4" t="inlineStr">
        <is>
          <t>United Discount Chem</t>
        </is>
      </c>
      <c r="GD4">
        <v>951850000</v>
      </c>
      <c r="GE4" t="inlineStr">
        <is>
          <t>Pending</t>
        </is>
      </c>
      <c r="GF4">
        <v>0.0000</v>
      </c>
      <c r="GG4">
        <v>0.0000</v>
      </c>
      <c r="GH4" s="3">
        <v>46122.659502314818</v>
      </c>
      <c r="GI4">
        <v>1</v>
      </c>
      <c r="GL4" t="b">
        <v>1</v>
      </c>
      <c r="GM4" t="inlineStr">
        <is>
          <t>Yes</t>
        </is>
      </c>
      <c r="GO4" s="3">
        <v>46122.659502314818</v>
      </c>
      <c r="GQ4" s="3">
        <v>46072.180034722223</v>
      </c>
      <c r="GR4" s="3">
        <v>46122.659502314818</v>
      </c>
      <c r="GS4">
        <v>1</v>
      </c>
      <c r="GT4" s="3">
        <v>45993.119583333333</v>
      </c>
      <c r="GU4" s="3">
        <v>46122.659502314818</v>
      </c>
      <c r="GV4">
        <v>1</v>
      </c>
      <c r="GY4" t="inlineStr">
        <is>
          <t>000001279570</t>
        </is>
      </c>
      <c r="HB4" t="inlineStr">
        <is>
          <t>United Chemists Lillybrook</t>
        </is>
      </c>
      <c r="HC4" t="inlineStr">
        <is>
          <t>P0R20</t>
        </is>
      </c>
      <c r="HI4">
        <v>1239.9500</v>
      </c>
      <c r="HJ4">
        <v>1239.9500</v>
      </c>
      <c r="HK4" s="3">
        <v>46122.659502314818</v>
      </c>
      <c r="HL4">
        <v>1</v>
      </c>
      <c r="HM4">
        <v>0.0000</v>
      </c>
      <c r="HN4">
        <v>0.0000</v>
      </c>
      <c r="HO4" s="3">
        <v>46122.659502314818</v>
      </c>
      <c r="HP4">
        <v>1</v>
      </c>
      <c r="HX4" t="inlineStr" s="6">
        <f>HYPERLINK("https://metagenicsd365.crm6.dynamics.com/main.aspx?etn=meta_paymentterm&amp;pagetype=entityrecord&amp;id=0768c959-38ba-eb11-8236-00224817f624","0768c959-38ba-eb11-8236-00224817f624")</f>
        <v>0768c959-38ba-eb11-8236-00224817f624</v>
      </c>
      <c r="HY4" t="inlineStr">
        <is>
          <t>Net 30 Days End of Month</t>
        </is>
      </c>
      <c r="IC4" t="inlineStr">
        <is>
          <t>QLD</t>
        </is>
      </c>
      <c r="ID4" t="inlineStr">
        <is>
          <t>Shop 12-14 Lillybrook Shopping Centre, 118 Old Gympie Road</t>
        </is>
      </c>
      <c r="IE4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4" t="inlineStr">
        <is>
          <t>Australia</t>
        </is>
      </c>
      <c r="IG4" t="inlineStr" s="6">
        <f>HYPERLINK("https://metagenicsd365.crm6.dynamics.com/main.aspx?etn=meta_postcode&amp;pagetype=entityrecord&amp;id=d5b13534-b2a7-e911-a873-000d3ae10139","d5b13534-b2a7-e911-a873-000d3ae10139")</f>
        <v>d5b13534-b2a7-e911-a873-000d3ae10139</v>
      </c>
      <c r="IH4" t="inlineStr">
        <is>
          <t>4503</t>
        </is>
      </c>
      <c r="II4" t="inlineStr" s="6">
        <f>HYPERLINK("https://metagenicsd365.crm6.dynamics.com/main.aspx?etn=meta_suburb&amp;pagetype=entityrecord&amp;id=f5dc0ee6-b3a7-e911-a862-000d3ae10c61","f5dc0ee6-b3a7-e911-a862-000d3ae10c61")</f>
        <v>f5dc0ee6-b3a7-e911-a862-000d3ae10c61</v>
      </c>
      <c r="IJ4" t="inlineStr">
        <is>
          <t>KALLANGUR</t>
        </is>
      </c>
      <c r="IK4" t="inlineStr" s="6">
        <f>HYPERLINK("https://metagenicsd365.crm6.dynamics.com/main.aspx?etn=meta_postcode&amp;pagetype=entityrecord&amp;id=d5b13534-b2a7-e911-a873-000d3ae10139","d5b13534-b2a7-e911-a873-000d3ae10139")</f>
        <v>d5b13534-b2a7-e911-a873-000d3ae10139</v>
      </c>
      <c r="IL4" t="inlineStr">
        <is>
          <t>4503</t>
        </is>
      </c>
      <c r="IU4" t="b">
        <v>0</v>
      </c>
      <c r="IV4" t="inlineStr">
        <is>
          <t>No</t>
        </is>
      </c>
      <c r="IZ4">
        <v>951850000</v>
      </c>
      <c r="JA4" t="inlineStr">
        <is>
          <t>Billing</t>
        </is>
      </c>
      <c r="JE4" t="b">
        <v>0</v>
      </c>
      <c r="JF4" t="inlineStr">
        <is>
          <t>No</t>
        </is>
      </c>
      <c r="JI4" t="inlineStr" s="6">
        <f>HYPERLINK("https://metagenicsd365.crm6.dynamics.com/main.aspx?etn=systemuser&amp;pagetype=entityrecord&amp;id=25afc103-5b3a-ee11-bdf4-000d3a798f51","25afc103-5b3a-ee11-bdf4-000d3a798f51")</f>
        <v>25afc103-5b3a-ee11-bdf4-000d3a798f51</v>
      </c>
      <c r="JJ4" t="inlineStr">
        <is>
          <t>Roxanne Macaraeg</t>
        </is>
      </c>
      <c r="JK4" t="inlineStr" s="6">
        <f>HYPERLINK("https://metagenicsd365.crm6.dynamics.com/main.aspx?etn=meta_segment&amp;pagetype=entityrecord&amp;id=98f55b6c-8030-eb11-a813-000d3ae1554c","98f55b6c-8030-eb11-a813-000d3ae1554c")</f>
        <v>98f55b6c-8030-eb11-a813-000d3ae1554c</v>
      </c>
      <c r="JL4" t="inlineStr">
        <is>
          <t>7 - Virtual Retail and Prac Sales</t>
        </is>
      </c>
      <c r="JM4" t="inlineStr" s="6">
        <f>HYPERLINK("https://metagenicsd365.crm6.dynamics.com/main.aspx?etn=territory&amp;pagetype=entityrecord&amp;id=99640ddf-8030-eb11-a813-000d3ae15585","99640ddf-8030-eb11-a813-000d3ae15585")</f>
        <v>99640ddf-8030-eb11-a813-000d3ae15585</v>
      </c>
      <c r="JN4" t="inlineStr">
        <is>
          <t>7RV1</t>
        </is>
      </c>
      <c r="JT4">
        <v>951850001</v>
      </c>
      <c r="JU4" t="inlineStr">
        <is>
          <t>EXP - Standard Shipping</t>
        </is>
      </c>
      <c r="JY4" t="inlineStr" s="6">
        <f>HYPERLINK("https://metagenicsd365.crm6.dynamics.com/main.aspx?etn=meta_suburb&amp;pagetype=entityrecord&amp;id=f5dc0ee6-b3a7-e911-a862-000d3ae10c61","f5dc0ee6-b3a7-e911-a862-000d3ae10c61")</f>
        <v>f5dc0ee6-b3a7-e911-a862-000d3ae10c61</v>
      </c>
      <c r="JZ4" t="inlineStr">
        <is>
          <t>KALLANGUR</t>
        </is>
      </c>
      <c r="KB4">
        <v>1239.9500</v>
      </c>
      <c r="KC4">
        <v>1239.9500</v>
      </c>
      <c r="KD4" s="3">
        <v>46122.659502314818</v>
      </c>
      <c r="KE4">
        <v>1</v>
      </c>
      <c r="KF4">
        <v>0.0000</v>
      </c>
      <c r="KG4">
        <v>0.0000</v>
      </c>
      <c r="KH4" s="3">
        <v>46122.659502314818</v>
      </c>
      <c r="KI4">
        <v>1</v>
      </c>
      <c r="KJ4">
        <v>0.0000</v>
      </c>
      <c r="KK4">
        <v>0.0000</v>
      </c>
      <c r="KL4" s="3">
        <v>46122.659502314818</v>
      </c>
      <c r="KM4">
        <v>1</v>
      </c>
      <c r="KN4" t="b">
        <v>0</v>
      </c>
      <c r="KO4" t="inlineStr">
        <is>
          <t>No</t>
        </is>
      </c>
      <c r="KP4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4" t="inlineStr">
        <is>
          <t>Sriganesh Subramanian</t>
        </is>
      </c>
      <c r="KT4" s="3">
        <v>46086.42491898148</v>
      </c>
      <c r="LA4" t="b">
        <v>0</v>
      </c>
      <c r="LB4" t="inlineStr">
        <is>
          <t>No</t>
        </is>
      </c>
      <c r="LH4" t="inlineStr">
        <is>
          <t>United Chemists Lillybrook</t>
        </is>
      </c>
      <c r="LO4">
        <v>0</v>
      </c>
      <c r="LP4" s="3">
        <v>46122.659502314818</v>
      </c>
      <c r="LQ4">
        <v>1</v>
      </c>
      <c r="LR4">
        <v>0.0000</v>
      </c>
      <c r="LS4">
        <v>0.0000</v>
      </c>
      <c r="LT4" s="3">
        <v>46122.659502314818</v>
      </c>
      <c r="LU4">
        <v>1</v>
      </c>
      <c r="LY4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4" t="inlineStr">
        <is>
          <t>Australia</t>
        </is>
      </c>
      <c r="MA4" t="inlineStr">
        <is>
          <t>team</t>
        </is>
      </c>
      <c r="MD4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4" t="inlineStr">
        <is>
          <t>Australia</t>
        </is>
      </c>
      <c r="MF4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L4" t="b">
        <v>0</v>
      </c>
      <c r="MM4" t="inlineStr">
        <is>
          <t>No</t>
        </is>
      </c>
      <c r="MT4">
        <v>1</v>
      </c>
      <c r="MU4" t="inlineStr">
        <is>
          <t>Any</t>
        </is>
      </c>
      <c r="NB4" t="inlineStr" s="6">
        <f>HYPERLINK("https://metagenicsd365.crm6.dynamics.com/main.aspx?etn=contact&amp;pagetype=entityrecord&amp;id=2eff5cc2-23a8-e911-a886-000d3ae106b8","2eff5cc2-23a8-e911-a886-000d3ae106b8")</f>
        <v>2eff5cc2-23a8-e911-a886-000d3ae106b8</v>
      </c>
      <c r="NC4" t="inlineStr">
        <is>
          <t>Store Manager</t>
        </is>
      </c>
      <c r="NJ4">
        <v>1</v>
      </c>
      <c r="NK4" t="inlineStr">
        <is>
          <t>Airborne</t>
        </is>
      </c>
      <c r="NR4">
        <v>0</v>
      </c>
      <c r="NS4" t="inlineStr">
        <is>
          <t>Active</t>
        </is>
      </c>
      <c r="NT4">
        <v>1</v>
      </c>
      <c r="NU4" t="inlineStr">
        <is>
          <t>Active</t>
        </is>
      </c>
      <c r="NX4" t="inlineStr">
        <is>
          <t>0734918491</t>
        </is>
      </c>
      <c r="NY4" t="inlineStr">
        <is>
          <t>0734918491</t>
        </is>
      </c>
      <c r="OA4">
        <v>1</v>
      </c>
      <c r="OB4" t="inlineStr">
        <is>
          <t>Default Value</t>
        </is>
      </c>
      <c r="OH4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4" t="inlineStr">
        <is>
          <t>Australian Dollar</t>
        </is>
      </c>
      <c r="OL4" t="inlineStr">
        <is>
          <t>0x000000003D832269</t>
        </is>
      </c>
    </row>
    <row r="5">
      <c r="C5">
        <v>1</v>
      </c>
      <c r="D5" t="inlineStr">
        <is>
          <t>Default Value</t>
        </is>
      </c>
      <c r="E5" t="inlineStr" s="6">
        <f>HYPERLINK("https://metagenicsd365.crm6.dynamics.com/main.aspx?etn=account&amp;pagetype=entityrecord&amp;id=e51ec95a-9292-f011-b4cc-000d3a792420","e51ec95a-9292-f011-b4cc-000d3a792420")</f>
        <v>e51ec95a-9292-f011-b4cc-000d3a792420</v>
      </c>
      <c r="F5" t="inlineStr">
        <is>
          <t>000001284053</t>
        </is>
      </c>
      <c r="G5">
        <v>1</v>
      </c>
      <c r="H5" t="inlineStr">
        <is>
          <t>Default Value</t>
        </is>
      </c>
      <c r="I5" t="inlineStr" s="6">
        <f>HYPERLINK("https://metagenicsd365.crm6.dynamics.com/main.aspx?etn=account&amp;pagetype=entityrecord&amp;id=189ebf6c-19d8-4482-a75d-ea0d5de35448","189ebf6c-19d8-4482-a75d-ea0d5de35448")</f>
        <v>189ebf6c-19d8-4482-a75d-ea0d5de35448</v>
      </c>
      <c r="L5" t="inlineStr">
        <is>
          <t>/meta_suburbs(6b89fbed-b5a7-e911-a86f-000d3ae10f1f)</t>
        </is>
      </c>
      <c r="M5" t="inlineStr">
        <is>
          <t>SHOP 6
19-25 MARTIN PLACE
/meta_suburbs(6b89fbed-b5a7-e911-a86f-000d3ae10f1f), NSW</t>
        </is>
      </c>
      <c r="T5" t="inlineStr">
        <is>
          <t>SHOP 6
19-25 MARTIN PLACE</t>
        </is>
      </c>
      <c r="AD5" t="inlineStr">
        <is>
          <t>NSW</t>
        </is>
      </c>
      <c r="AE5" t="inlineStr">
        <is>
          <t>0285206014</t>
        </is>
      </c>
      <c r="AJ5" t="inlineStr" s="6">
        <f>HYPERLINK("https://metagenicsd365.crm6.dynamics.com/main.aspx?etn=account&amp;pagetype=entityrecord&amp;id=c6683b5b-094a-4be0-b57e-31657cc90d70","c6683b5b-094a-4be0-b57e-31657cc90d70")</f>
        <v>c6683b5b-094a-4be0-b57e-31657cc90d70</v>
      </c>
      <c r="AK5">
        <v>1</v>
      </c>
      <c r="AL5" t="inlineStr">
        <is>
          <t>Default Value</t>
        </is>
      </c>
      <c r="AM5" t="inlineStr">
        <is>
          <t>/meta_suburbs(6b89fbed-b5a7-e911-a86f-000d3ae10f1f)</t>
        </is>
      </c>
      <c r="AN5" t="inlineStr">
        <is>
          <t>SHOP 6
19-25 MARTIN PLACE
/meta_suburbs(6b89fbed-b5a7-e911-a86f-000d3ae10f1f), NSW</t>
        </is>
      </c>
      <c r="AR5">
        <v>1</v>
      </c>
      <c r="AS5" t="inlineStr">
        <is>
          <t>Default Value</t>
        </is>
      </c>
      <c r="AU5" t="inlineStr">
        <is>
          <t>SHOP 6
19-25 MARTIN PLACE</t>
        </is>
      </c>
      <c r="BC5">
        <v>1</v>
      </c>
      <c r="BD5" t="inlineStr">
        <is>
          <t>Default Value</t>
        </is>
      </c>
      <c r="BE5" t="inlineStr">
        <is>
          <t>NSW</t>
        </is>
      </c>
      <c r="BU5">
        <v>1</v>
      </c>
      <c r="BV5" t="inlineStr">
        <is>
          <t>Default Value</t>
        </is>
      </c>
      <c r="BY5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5" t="inlineStr">
        <is>
          <t>SVC_D365_CE #</t>
        </is>
      </c>
      <c r="CC5" s="3">
        <v>45916.011354166665</v>
      </c>
      <c r="CH5" t="b">
        <v>0</v>
      </c>
      <c r="CI5" t="inlineStr">
        <is>
          <t>No</t>
        </is>
      </c>
      <c r="CJ5">
        <v>1</v>
      </c>
      <c r="CK5" t="inlineStr">
        <is>
          <t>Default Value</t>
        </is>
      </c>
      <c r="CN5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5" t="inlineStr">
        <is>
          <t>All Products Australia</t>
        </is>
      </c>
      <c r="CQ5" t="b">
        <v>0</v>
      </c>
      <c r="CR5" t="inlineStr">
        <is>
          <t>Allow</t>
        </is>
      </c>
      <c r="CS5" t="b">
        <v>0</v>
      </c>
      <c r="CT5" t="inlineStr">
        <is>
          <t>No</t>
        </is>
      </c>
      <c r="CU5" t="b">
        <v>0</v>
      </c>
      <c r="CV5" t="inlineStr">
        <is>
          <t>Allow</t>
        </is>
      </c>
      <c r="CW5" t="b">
        <v>0</v>
      </c>
      <c r="CX5" t="inlineStr">
        <is>
          <t>Allow</t>
        </is>
      </c>
      <c r="CY5" t="b">
        <v>0</v>
      </c>
      <c r="CZ5" t="inlineStr">
        <is>
          <t>Allow</t>
        </is>
      </c>
      <c r="DA5" t="b">
        <v>0</v>
      </c>
      <c r="DB5" t="inlineStr">
        <is>
          <t>Allow</t>
        </is>
      </c>
      <c r="DC5" t="b">
        <v>0</v>
      </c>
      <c r="DD5" t="inlineStr">
        <is>
          <t>Send</t>
        </is>
      </c>
      <c r="DE5" t="inlineStr">
        <is>
          <t>pharmacy@25martinpl.com.au</t>
        </is>
      </c>
      <c r="DF5" t="inlineStr">
        <is>
          <t>pharmacy@25martinpl.com.au</t>
        </is>
      </c>
      <c r="DO5">
        <v>1.0000000000</v>
      </c>
      <c r="DQ5" t="b">
        <v>1</v>
      </c>
      <c r="DR5" t="inlineStr">
        <is>
          <t>Allow</t>
        </is>
      </c>
      <c r="EA5" t="b">
        <v>0</v>
      </c>
      <c r="EB5" t="inlineStr">
        <is>
          <t>No</t>
        </is>
      </c>
      <c r="EE5" t="b">
        <v>0</v>
      </c>
      <c r="EF5" t="inlineStr">
        <is>
          <t>No</t>
        </is>
      </c>
      <c r="EG5" t="inlineStr">
        <is>
          <t>No</t>
        </is>
      </c>
      <c r="EJ5" t="inlineStr">
        <is>
          <t>951850000,951850001</t>
        </is>
      </c>
      <c r="EK5" t="inlineStr">
        <is>
          <t>Retail; Practitioner</t>
        </is>
      </c>
      <c r="EL5" s="3">
        <v>45925.020567129628</v>
      </c>
      <c r="EM5" s="3">
        <v>93138.99998842593</v>
      </c>
      <c r="EN5" t="inlineStr">
        <is>
          <t>PRAC</t>
        </is>
      </c>
      <c r="EO5" t="b">
        <v>0</v>
      </c>
      <c r="EP5" t="inlineStr">
        <is>
          <t>No</t>
        </is>
      </c>
      <c r="EQ5" t="inlineStr">
        <is>
          <t>No</t>
        </is>
      </c>
      <c r="ER5" t="inlineStr">
        <is>
          <t>https://metagenicscorpaus.sharepoint.com/sites/TMsRETAIL/Shared%20Documents/Forms/AllItems.aspx?id=%2Fsites%2FTMsRETAIL%2FShared%20Documents%2FKey%20Account%20Updates%2F1%2E%20POG%27s%20%28All%20Banners%29%2FIPA%20Group%20%28inc%20CDC%29&amp;p=true&amp;ga=1&amp;LOF=1</t>
        </is>
      </c>
      <c r="EU5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5" t="inlineStr">
        <is>
          <t>Australia</t>
        </is>
      </c>
      <c r="EW5">
        <v>951850003</v>
      </c>
      <c r="EX5" t="inlineStr">
        <is>
          <t>PRA01</t>
        </is>
      </c>
      <c r="EY5" t="inlineStr" s="6">
        <f>HYPERLINK("https://metagenicsd365.crm6.dynamics.com/main.aspx?etn=meta_postcode&amp;pagetype=entityrecord&amp;id=bff88664-b2a7-e911-a873-000d3ae10cf1","bff88664-b2a7-e911-a873-000d3ae10cf1")</f>
        <v>bff88664-b2a7-e911-a873-000d3ae10cf1</v>
      </c>
      <c r="EZ5" t="inlineStr">
        <is>
          <t>2000</t>
        </is>
      </c>
      <c r="FA5" t="inlineStr" s="6">
        <f>HYPERLINK("https://metagenicsd365.crm6.dynamics.com/main.aspx?etn=meta_suburb&amp;pagetype=entityrecord&amp;id=6b89fbed-b5a7-e911-a86f-000d3ae10f1f","6b89fbed-b5a7-e911-a86f-000d3ae10f1f")</f>
        <v>6b89fbed-b5a7-e911-a86f-000d3ae10f1f</v>
      </c>
      <c r="FB5" t="inlineStr">
        <is>
          <t>SYDNEY</t>
        </is>
      </c>
      <c r="FC5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5" t="inlineStr">
        <is>
          <t>Australia</t>
        </is>
      </c>
      <c r="FE5" t="inlineStr">
        <is>
          <t>0000000000001284053</t>
        </is>
      </c>
      <c r="FM5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5" t="inlineStr">
        <is>
          <t>Australia</t>
        </is>
      </c>
      <c r="FO5" t="b">
        <v>1</v>
      </c>
      <c r="FP5" t="inlineStr">
        <is>
          <t>Yes</t>
        </is>
      </c>
      <c r="FQ5" t="inlineStr">
        <is>
          <t>PRACS</t>
        </is>
      </c>
      <c r="FU5" t="b">
        <v>0</v>
      </c>
      <c r="FV5" t="inlineStr">
        <is>
          <t>No</t>
        </is>
      </c>
      <c r="FW5" t="b">
        <v>0</v>
      </c>
      <c r="FX5" t="inlineStr">
        <is>
          <t>No</t>
        </is>
      </c>
      <c r="GA5" t="inlineStr">
        <is>
          <t>ABL12904082</t>
        </is>
      </c>
      <c r="GB5" t="inlineStr" s="6">
        <f>HYPERLINK("https://metagenicsd365.crm6.dynamics.com/main.aspx?etn=meta_group&amp;pagetype=entityrecord&amp;id=5a5f60f4-b1a7-e911-a86f-000d3ae10f1f","5a5f60f4-b1a7-e911-a86f-000d3ae10f1f")</f>
        <v>5a5f60f4-b1a7-e911-a86f-000d3ae10f1f</v>
      </c>
      <c r="GC5" t="inlineStr">
        <is>
          <t>Alliance Partner</t>
        </is>
      </c>
      <c r="GD5">
        <v>951850000</v>
      </c>
      <c r="GE5" t="inlineStr">
        <is>
          <t>Pending</t>
        </is>
      </c>
      <c r="GF5">
        <v>0.0000</v>
      </c>
      <c r="GG5">
        <v>0.0000</v>
      </c>
      <c r="GH5" s="3">
        <v>46122.659502314818</v>
      </c>
      <c r="GI5">
        <v>1</v>
      </c>
      <c r="GJ5" t="b">
        <v>1</v>
      </c>
      <c r="GK5" t="inlineStr">
        <is>
          <t>Yes</t>
        </is>
      </c>
      <c r="GL5" t="b">
        <v>1</v>
      </c>
      <c r="GM5" t="inlineStr">
        <is>
          <t>Yes</t>
        </is>
      </c>
      <c r="GO5" s="3">
        <v>46122.659502314818</v>
      </c>
      <c r="GP5">
        <v>1</v>
      </c>
      <c r="GQ5" s="3">
        <v>45937.140613425923</v>
      </c>
      <c r="GR5" s="3">
        <v>46122.659502314818</v>
      </c>
      <c r="GS5">
        <v>1</v>
      </c>
      <c r="GT5" s="3">
        <v>46072.971377314818</v>
      </c>
      <c r="GU5" s="3">
        <v>46122.659502314818</v>
      </c>
      <c r="GV5">
        <v>1</v>
      </c>
      <c r="GY5" t="inlineStr">
        <is>
          <t>000001284053</t>
        </is>
      </c>
      <c r="HB5" t="inlineStr">
        <is>
          <t>Pharmacy@25 Martin Place</t>
        </is>
      </c>
      <c r="HC5" t="inlineStr">
        <is>
          <t>P0R20</t>
        </is>
      </c>
      <c r="HI5">
        <v>564.4300</v>
      </c>
      <c r="HJ5">
        <v>564.4300</v>
      </c>
      <c r="HK5" s="3">
        <v>46122.659502314818</v>
      </c>
      <c r="HL5">
        <v>1</v>
      </c>
      <c r="HM5">
        <v>0.0000</v>
      </c>
      <c r="HN5">
        <v>0.0000</v>
      </c>
      <c r="HO5" s="3">
        <v>46122.659502314818</v>
      </c>
      <c r="HP5">
        <v>1</v>
      </c>
      <c r="HX5" t="inlineStr" s="6">
        <f>HYPERLINK("https://metagenicsd365.crm6.dynamics.com/main.aspx?etn=meta_paymentterm&amp;pagetype=entityrecord&amp;id=0768c959-38ba-eb11-8236-00224817f624","0768c959-38ba-eb11-8236-00224817f624")</f>
        <v>0768c959-38ba-eb11-8236-00224817f624</v>
      </c>
      <c r="HY5" t="inlineStr">
        <is>
          <t>Net 30 Days End of Month</t>
        </is>
      </c>
      <c r="IC5" t="inlineStr">
        <is>
          <t>NSW</t>
        </is>
      </c>
      <c r="ID5" t="inlineStr">
        <is>
          <t>SHOP 6
19-25 MARTIN PLACE</t>
        </is>
      </c>
      <c r="IE5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5" t="inlineStr">
        <is>
          <t>Australia</t>
        </is>
      </c>
      <c r="IG5" t="inlineStr" s="6">
        <f>HYPERLINK("https://metagenicsd365.crm6.dynamics.com/main.aspx?etn=meta_postcode&amp;pagetype=entityrecord&amp;id=bff88664-b2a7-e911-a873-000d3ae10cf1","bff88664-b2a7-e911-a873-000d3ae10cf1")</f>
        <v>bff88664-b2a7-e911-a873-000d3ae10cf1</v>
      </c>
      <c r="IH5" t="inlineStr">
        <is>
          <t>2000</t>
        </is>
      </c>
      <c r="II5" t="inlineStr" s="6">
        <f>HYPERLINK("https://metagenicsd365.crm6.dynamics.com/main.aspx?etn=meta_suburb&amp;pagetype=entityrecord&amp;id=6b89fbed-b5a7-e911-a86f-000d3ae10f1f","6b89fbed-b5a7-e911-a86f-000d3ae10f1f")</f>
        <v>6b89fbed-b5a7-e911-a86f-000d3ae10f1f</v>
      </c>
      <c r="IJ5" t="inlineStr">
        <is>
          <t>SYDNEY</t>
        </is>
      </c>
      <c r="IK5" t="inlineStr" s="6">
        <f>HYPERLINK("https://metagenicsd365.crm6.dynamics.com/main.aspx?etn=meta_postcode&amp;pagetype=entityrecord&amp;id=bff88664-b2a7-e911-a873-000d3ae10cf1","bff88664-b2a7-e911-a873-000d3ae10cf1")</f>
        <v>bff88664-b2a7-e911-a873-000d3ae10cf1</v>
      </c>
      <c r="IL5" t="inlineStr">
        <is>
          <t>2000</t>
        </is>
      </c>
      <c r="IM5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5" t="inlineStr">
        <is>
          <t># HWORLD</t>
        </is>
      </c>
      <c r="IO5" t="inlineStr" s="6">
        <f>HYPERLINK("https://metagenicsd365.crm6.dynamics.com/main.aspx?etn=meta_segment&amp;pagetype=entityrecord&amp;id=44e3a56e-8030-eb11-a813-000d3ae15585","44e3a56e-8030-eb11-a813-000d3ae15585")</f>
        <v>44e3a56e-8030-eb11-a813-000d3ae15585</v>
      </c>
      <c r="IP5" t="inlineStr">
        <is>
          <t>10 - New accounts opened</t>
        </is>
      </c>
      <c r="IQ5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5" t="inlineStr">
        <is>
          <t>APH0</t>
        </is>
      </c>
      <c r="IU5" t="b">
        <v>0</v>
      </c>
      <c r="IV5" t="inlineStr">
        <is>
          <t>No</t>
        </is>
      </c>
      <c r="IZ5">
        <v>951850000</v>
      </c>
      <c r="JA5" t="inlineStr">
        <is>
          <t>Billing</t>
        </is>
      </c>
      <c r="JE5" t="b">
        <v>0</v>
      </c>
      <c r="JF5" t="inlineStr">
        <is>
          <t>No</t>
        </is>
      </c>
      <c r="JI5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JJ5" t="inlineStr">
        <is>
          <t># HWORLD</t>
        </is>
      </c>
      <c r="JK5" t="inlineStr" s="6">
        <f>HYPERLINK("https://metagenicsd365.crm6.dynamics.com/main.aspx?etn=meta_segment&amp;pagetype=entityrecord&amp;id=44e3a56e-8030-eb11-a813-000d3ae15585","44e3a56e-8030-eb11-a813-000d3ae15585")</f>
        <v>44e3a56e-8030-eb11-a813-000d3ae15585</v>
      </c>
      <c r="JL5" t="inlineStr">
        <is>
          <t>10 - New accounts opened</t>
        </is>
      </c>
      <c r="JM5" t="inlineStr" s="6">
        <f>HYPERLINK("https://metagenicsd365.crm6.dynamics.com/main.aspx?etn=territory&amp;pagetype=entityrecord&amp;id=c64322e5-8030-eb11-a813-000d3ae15585","c64322e5-8030-eb11-a813-000d3ae15585")</f>
        <v>c64322e5-8030-eb11-a813-000d3ae15585</v>
      </c>
      <c r="JN5" t="inlineStr">
        <is>
          <t>ARH0</t>
        </is>
      </c>
      <c r="JT5">
        <v>951850001</v>
      </c>
      <c r="JU5" t="inlineStr">
        <is>
          <t>EXP - Standard Shipping</t>
        </is>
      </c>
      <c r="JY5" t="inlineStr" s="6">
        <f>HYPERLINK("https://metagenicsd365.crm6.dynamics.com/main.aspx?etn=meta_suburb&amp;pagetype=entityrecord&amp;id=6b89fbed-b5a7-e911-a86f-000d3ae10f1f","6b89fbed-b5a7-e911-a86f-000d3ae10f1f")</f>
        <v>6b89fbed-b5a7-e911-a86f-000d3ae10f1f</v>
      </c>
      <c r="JZ5" t="inlineStr">
        <is>
          <t>SYDNEY</t>
        </is>
      </c>
      <c r="KB5">
        <v>564.4300</v>
      </c>
      <c r="KC5">
        <v>564.4300</v>
      </c>
      <c r="KD5" s="3">
        <v>46122.659502314818</v>
      </c>
      <c r="KE5">
        <v>1</v>
      </c>
      <c r="KF5">
        <v>0.0000</v>
      </c>
      <c r="KG5">
        <v>0.0000</v>
      </c>
      <c r="KH5" s="3">
        <v>46122.659502314818</v>
      </c>
      <c r="KI5">
        <v>1</v>
      </c>
      <c r="KJ5">
        <v>0.0000</v>
      </c>
      <c r="KK5">
        <v>0.0000</v>
      </c>
      <c r="KL5" s="3">
        <v>46122.659502314818</v>
      </c>
      <c r="KM5">
        <v>1</v>
      </c>
      <c r="KN5" t="b">
        <v>0</v>
      </c>
      <c r="KO5" t="inlineStr">
        <is>
          <t>No</t>
        </is>
      </c>
      <c r="KP5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5" t="inlineStr">
        <is>
          <t>Sriganesh Subramanian</t>
        </is>
      </c>
      <c r="KT5" s="3">
        <v>46086.473368055558</v>
      </c>
      <c r="LA5" t="b">
        <v>0</v>
      </c>
      <c r="LB5" t="inlineStr">
        <is>
          <t>No</t>
        </is>
      </c>
      <c r="LH5" t="inlineStr">
        <is>
          <t>Pharmacy@25 Martin Place</t>
        </is>
      </c>
      <c r="LO5">
        <v>0</v>
      </c>
      <c r="LP5" s="3">
        <v>46122.659502314818</v>
      </c>
      <c r="LQ5">
        <v>1</v>
      </c>
      <c r="LR5">
        <v>0.0000</v>
      </c>
      <c r="LS5">
        <v>0.0000</v>
      </c>
      <c r="LT5" s="3">
        <v>46122.659502314818</v>
      </c>
      <c r="LU5">
        <v>1</v>
      </c>
      <c r="LY5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5" t="inlineStr">
        <is>
          <t>Australia</t>
        </is>
      </c>
      <c r="MA5" t="inlineStr">
        <is>
          <t>team</t>
        </is>
      </c>
      <c r="MD5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5" t="inlineStr">
        <is>
          <t>Australia</t>
        </is>
      </c>
      <c r="MF5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L5" t="b">
        <v>0</v>
      </c>
      <c r="MM5" t="inlineStr">
        <is>
          <t>No</t>
        </is>
      </c>
      <c r="MT5">
        <v>1</v>
      </c>
      <c r="MU5" t="inlineStr">
        <is>
          <t>Any</t>
        </is>
      </c>
      <c r="NB5" t="inlineStr" s="6">
        <f>HYPERLINK("https://metagenicsd365.crm6.dynamics.com/main.aspx?etn=contact&amp;pagetype=entityrecord&amp;id=d771da5c-9292-f011-b4cc-000d3ae08cb8","d771da5c-9292-f011-b4cc-000d3ae08cb8")</f>
        <v>d771da5c-9292-f011-b4cc-000d3ae08cb8</v>
      </c>
      <c r="NC5" t="inlineStr">
        <is>
          <t>Joseph Geng Place</t>
        </is>
      </c>
      <c r="NJ5">
        <v>1</v>
      </c>
      <c r="NK5" t="inlineStr">
        <is>
          <t>Airborne</t>
        </is>
      </c>
      <c r="NR5">
        <v>0</v>
      </c>
      <c r="NS5" t="inlineStr">
        <is>
          <t>Active</t>
        </is>
      </c>
      <c r="NT5">
        <v>1</v>
      </c>
      <c r="NU5" t="inlineStr">
        <is>
          <t>Active</t>
        </is>
      </c>
      <c r="NX5" t="inlineStr">
        <is>
          <t>0285206014</t>
        </is>
      </c>
      <c r="NY5" t="inlineStr">
        <is>
          <t>0285206014</t>
        </is>
      </c>
      <c r="OA5">
        <v>1</v>
      </c>
      <c r="OB5" t="inlineStr">
        <is>
          <t>Default Value</t>
        </is>
      </c>
      <c r="OG5">
        <v>0</v>
      </c>
      <c r="OH5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5" t="inlineStr">
        <is>
          <t>Australian Dollar</t>
        </is>
      </c>
      <c r="OL5" t="inlineStr">
        <is>
          <t>0x000000003D83A07D</t>
        </is>
      </c>
    </row>
    <row r="6">
      <c r="C6">
        <v>1</v>
      </c>
      <c r="D6" t="inlineStr">
        <is>
          <t>Default Value</t>
        </is>
      </c>
      <c r="E6" t="inlineStr" s="6">
        <f>HYPERLINK("https://metagenicsd365.crm6.dynamics.com/main.aspx?etn=account&amp;pagetype=entityrecord&amp;id=d17d76ef-6393-f011-b4cc-000d3a792420","d17d76ef-6393-f011-b4cc-000d3a792420")</f>
        <v>d17d76ef-6393-f011-b4cc-000d3a792420</v>
      </c>
      <c r="F6" t="inlineStr">
        <is>
          <t>000001284102</t>
        </is>
      </c>
      <c r="G6">
        <v>1</v>
      </c>
      <c r="H6" t="inlineStr">
        <is>
          <t>Default Value</t>
        </is>
      </c>
      <c r="I6" t="inlineStr" s="6">
        <f>HYPERLINK("https://metagenicsd365.crm6.dynamics.com/main.aspx?etn=account&amp;pagetype=entityrecord&amp;id=31b75026-60c5-4ffe-a54d-c7e79d620f96","31b75026-60c5-4ffe-a54d-c7e79d620f96")</f>
        <v>31b75026-60c5-4ffe-a54d-c7e79d620f96</v>
      </c>
      <c r="L6" t="inlineStr">
        <is>
          <t>/meta_suburbs(27b5082c-b5a7-e911-a873-000d3ae10139)</t>
        </is>
      </c>
      <c r="M6" t="inlineStr">
        <is>
          <t>Gordon Center Shop 1 802-808 Pacific Hwy
/meta_suburbs(27b5082c-b5a7-e911-a873-000d3ae10139), NSW</t>
        </is>
      </c>
      <c r="T6" t="inlineStr">
        <is>
          <t>Gordon Center Shop 1 802-808 Pacific Hwy</t>
        </is>
      </c>
      <c r="AD6" t="inlineStr">
        <is>
          <t>NSW</t>
        </is>
      </c>
      <c r="AE6" t="inlineStr">
        <is>
          <t>+61294986465</t>
        </is>
      </c>
      <c r="AJ6" t="inlineStr" s="6">
        <f>HYPERLINK("https://metagenicsd365.crm6.dynamics.com/main.aspx?etn=account&amp;pagetype=entityrecord&amp;id=b17ada37-00ff-4b15-a433-98d4d4582d76","b17ada37-00ff-4b15-a433-98d4d4582d76")</f>
        <v>b17ada37-00ff-4b15-a433-98d4d4582d76</v>
      </c>
      <c r="AK6">
        <v>1</v>
      </c>
      <c r="AL6" t="inlineStr">
        <is>
          <t>Default Value</t>
        </is>
      </c>
      <c r="AM6" t="inlineStr">
        <is>
          <t>/meta_suburbs(27b5082c-b5a7-e911-a873-000d3ae10139)</t>
        </is>
      </c>
      <c r="AN6" t="inlineStr">
        <is>
          <t>Gordon Center Shop 1 802-808 Pacific Hwy
/meta_suburbs(27b5082c-b5a7-e911-a873-000d3ae10139), NSW</t>
        </is>
      </c>
      <c r="AR6">
        <v>1</v>
      </c>
      <c r="AS6" t="inlineStr">
        <is>
          <t>Default Value</t>
        </is>
      </c>
      <c r="AU6" t="inlineStr">
        <is>
          <t>Gordon Center Shop 1 802-808 Pacific Hwy</t>
        </is>
      </c>
      <c r="BC6">
        <v>1</v>
      </c>
      <c r="BD6" t="inlineStr">
        <is>
          <t>Default Value</t>
        </is>
      </c>
      <c r="BE6" t="inlineStr">
        <is>
          <t>NSW</t>
        </is>
      </c>
      <c r="BU6">
        <v>1</v>
      </c>
      <c r="BV6" t="inlineStr">
        <is>
          <t>Default Value</t>
        </is>
      </c>
      <c r="BY6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6" t="inlineStr">
        <is>
          <t>SVC_D365_CE #</t>
        </is>
      </c>
      <c r="CC6" s="3">
        <v>45917.053148148145</v>
      </c>
      <c r="CH6" t="b">
        <v>0</v>
      </c>
      <c r="CI6" t="inlineStr">
        <is>
          <t>No</t>
        </is>
      </c>
      <c r="CJ6">
        <v>1</v>
      </c>
      <c r="CK6" t="inlineStr">
        <is>
          <t>Default Value</t>
        </is>
      </c>
      <c r="CN6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6" t="inlineStr">
        <is>
          <t>All Products Australia</t>
        </is>
      </c>
      <c r="CQ6" t="b">
        <v>0</v>
      </c>
      <c r="CR6" t="inlineStr">
        <is>
          <t>Allow</t>
        </is>
      </c>
      <c r="CS6" t="b">
        <v>0</v>
      </c>
      <c r="CT6" t="inlineStr">
        <is>
          <t>No</t>
        </is>
      </c>
      <c r="CU6" t="b">
        <v>0</v>
      </c>
      <c r="CV6" t="inlineStr">
        <is>
          <t>Allow</t>
        </is>
      </c>
      <c r="CW6" t="b">
        <v>0</v>
      </c>
      <c r="CX6" t="inlineStr">
        <is>
          <t>Allow</t>
        </is>
      </c>
      <c r="CY6" t="b">
        <v>0</v>
      </c>
      <c r="CZ6" t="inlineStr">
        <is>
          <t>Allow</t>
        </is>
      </c>
      <c r="DA6" t="b">
        <v>0</v>
      </c>
      <c r="DB6" t="inlineStr">
        <is>
          <t>Allow</t>
        </is>
      </c>
      <c r="DC6" t="b">
        <v>0</v>
      </c>
      <c r="DD6" t="inlineStr">
        <is>
          <t>Send</t>
        </is>
      </c>
      <c r="DE6" t="inlineStr">
        <is>
          <t>plpgordon@outlook.com</t>
        </is>
      </c>
      <c r="DF6" t="inlineStr">
        <is>
          <t>plpgordon@outlook.com</t>
        </is>
      </c>
      <c r="DO6">
        <v>1.0000000000</v>
      </c>
      <c r="DQ6" t="b">
        <v>1</v>
      </c>
      <c r="DR6" t="inlineStr">
        <is>
          <t>Allow</t>
        </is>
      </c>
      <c r="EA6" t="b">
        <v>0</v>
      </c>
      <c r="EB6" t="inlineStr">
        <is>
          <t>No</t>
        </is>
      </c>
      <c r="EE6" t="b">
        <v>0</v>
      </c>
      <c r="EF6" t="inlineStr">
        <is>
          <t>No</t>
        </is>
      </c>
      <c r="EG6" t="inlineStr">
        <is>
          <t>No</t>
        </is>
      </c>
      <c r="EJ6" t="inlineStr">
        <is>
          <t>951850001</t>
        </is>
      </c>
      <c r="EK6" t="inlineStr">
        <is>
          <t>Practitioner</t>
        </is>
      </c>
      <c r="EN6" t="inlineStr">
        <is>
          <t>PRAC</t>
        </is>
      </c>
      <c r="EO6" t="b">
        <v>0</v>
      </c>
      <c r="EP6" t="inlineStr">
        <is>
          <t>No</t>
        </is>
      </c>
      <c r="EQ6" t="inlineStr">
        <is>
          <t>No</t>
        </is>
      </c>
      <c r="EU6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6" t="inlineStr">
        <is>
          <t>Australia</t>
        </is>
      </c>
      <c r="EW6">
        <v>951850003</v>
      </c>
      <c r="EX6" t="inlineStr">
        <is>
          <t>PRA01</t>
        </is>
      </c>
      <c r="EY6" t="inlineStr" s="6">
        <f>HYPERLINK("https://metagenicsd365.crm6.dynamics.com/main.aspx?etn=meta_postcode&amp;pagetype=entityrecord&amp;id=4f321356-b2a7-e911-a86f-000d3ae10f1f","4f321356-b2a7-e911-a86f-000d3ae10f1f")</f>
        <v>4f321356-b2a7-e911-a86f-000d3ae10f1f</v>
      </c>
      <c r="EZ6" t="inlineStr">
        <is>
          <t>2072</t>
        </is>
      </c>
      <c r="FA6" t="inlineStr" s="6">
        <f>HYPERLINK("https://metagenicsd365.crm6.dynamics.com/main.aspx?etn=meta_suburb&amp;pagetype=entityrecord&amp;id=27b5082c-b5a7-e911-a873-000d3ae10139","27b5082c-b5a7-e911-a873-000d3ae10139")</f>
        <v>27b5082c-b5a7-e911-a873-000d3ae10139</v>
      </c>
      <c r="FB6" t="inlineStr">
        <is>
          <t>GORDON</t>
        </is>
      </c>
      <c r="FC6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6" t="inlineStr">
        <is>
          <t>Australia</t>
        </is>
      </c>
      <c r="FE6" t="inlineStr">
        <is>
          <t>0000000000001284102</t>
        </is>
      </c>
      <c r="FM6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6" t="inlineStr">
        <is>
          <t>Australia</t>
        </is>
      </c>
      <c r="FO6" t="b">
        <v>1</v>
      </c>
      <c r="FP6" t="inlineStr">
        <is>
          <t>Yes</t>
        </is>
      </c>
      <c r="FQ6" t="inlineStr">
        <is>
          <t>PRACS</t>
        </is>
      </c>
      <c r="FU6" t="b">
        <v>0</v>
      </c>
      <c r="FV6" t="inlineStr">
        <is>
          <t>No</t>
        </is>
      </c>
      <c r="FW6" t="b">
        <v>0</v>
      </c>
      <c r="FX6" t="inlineStr">
        <is>
          <t>No</t>
        </is>
      </c>
      <c r="GA6" t="inlineStr">
        <is>
          <t>ABL12904940</t>
        </is>
      </c>
      <c r="GB6" t="inlineStr" s="6">
        <f>HYPERLINK("https://metagenicsd365.crm6.dynamics.com/main.aspx?etn=meta_group&amp;pagetype=entityrecord&amp;id=d7ca82f8-b1a7-e911-a886-000d3ae106b8","d7ca82f8-b1a7-e911-a886-000d3ae106b8")</f>
        <v>d7ca82f8-b1a7-e911-a886-000d3ae106b8</v>
      </c>
      <c r="GC6" t="inlineStr">
        <is>
          <t>Priceline</t>
        </is>
      </c>
      <c r="GD6">
        <v>951850000</v>
      </c>
      <c r="GE6" t="inlineStr">
        <is>
          <t>Pending</t>
        </is>
      </c>
      <c r="GF6">
        <v>0.0000</v>
      </c>
      <c r="GG6">
        <v>0.0000</v>
      </c>
      <c r="GH6" s="3">
        <v>46122.659502314818</v>
      </c>
      <c r="GI6">
        <v>1</v>
      </c>
      <c r="GJ6" t="b">
        <v>1</v>
      </c>
      <c r="GK6" t="inlineStr">
        <is>
          <t>Yes</t>
        </is>
      </c>
      <c r="GO6" s="3">
        <v>46122.659502314818</v>
      </c>
      <c r="GP6">
        <v>1</v>
      </c>
      <c r="GR6" s="3">
        <v>46122.659502314818</v>
      </c>
      <c r="GU6" s="3">
        <v>46122.659502314818</v>
      </c>
      <c r="GV6">
        <v>1</v>
      </c>
      <c r="GY6" t="inlineStr">
        <is>
          <t>000001284102</t>
        </is>
      </c>
      <c r="HB6" t="inlineStr">
        <is>
          <t>Priceline Pharmacy Gordon Prac</t>
        </is>
      </c>
      <c r="HC6" t="inlineStr">
        <is>
          <t>P0R20</t>
        </is>
      </c>
      <c r="HI6">
        <v>140.2700</v>
      </c>
      <c r="HJ6">
        <v>140.2700</v>
      </c>
      <c r="HK6" s="3">
        <v>46122.659502314818</v>
      </c>
      <c r="HL6">
        <v>1</v>
      </c>
      <c r="HM6">
        <v>0.0000</v>
      </c>
      <c r="HN6">
        <v>0.0000</v>
      </c>
      <c r="HO6" s="3">
        <v>46122.659502314818</v>
      </c>
      <c r="HP6">
        <v>1</v>
      </c>
      <c r="HX6" t="inlineStr" s="6">
        <f>HYPERLINK("https://metagenicsd365.crm6.dynamics.com/main.aspx?etn=meta_paymentterm&amp;pagetype=entityrecord&amp;id=0768c959-38ba-eb11-8236-00224817f624","0768c959-38ba-eb11-8236-00224817f624")</f>
        <v>0768c959-38ba-eb11-8236-00224817f624</v>
      </c>
      <c r="HY6" t="inlineStr">
        <is>
          <t>Net 30 Days End of Month</t>
        </is>
      </c>
      <c r="IC6" t="inlineStr">
        <is>
          <t>NSW</t>
        </is>
      </c>
      <c r="ID6" t="inlineStr">
        <is>
          <t>Gordon Center Shop 1 802-808 Pacific Hwy</t>
        </is>
      </c>
      <c r="IE6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6" t="inlineStr">
        <is>
          <t>Australia</t>
        </is>
      </c>
      <c r="IG6" t="inlineStr" s="6">
        <f>HYPERLINK("https://metagenicsd365.crm6.dynamics.com/main.aspx?etn=meta_postcode&amp;pagetype=entityrecord&amp;id=4f321356-b2a7-e911-a86f-000d3ae10f1f","4f321356-b2a7-e911-a86f-000d3ae10f1f")</f>
        <v>4f321356-b2a7-e911-a86f-000d3ae10f1f</v>
      </c>
      <c r="IH6" t="inlineStr">
        <is>
          <t>2072</t>
        </is>
      </c>
      <c r="II6" t="inlineStr" s="6">
        <f>HYPERLINK("https://metagenicsd365.crm6.dynamics.com/main.aspx?etn=meta_suburb&amp;pagetype=entityrecord&amp;id=27b5082c-b5a7-e911-a873-000d3ae10139","27b5082c-b5a7-e911-a873-000d3ae10139")</f>
        <v>27b5082c-b5a7-e911-a873-000d3ae10139</v>
      </c>
      <c r="IJ6" t="inlineStr">
        <is>
          <t>GORDON</t>
        </is>
      </c>
      <c r="IK6" t="inlineStr" s="6">
        <f>HYPERLINK("https://metagenicsd365.crm6.dynamics.com/main.aspx?etn=meta_postcode&amp;pagetype=entityrecord&amp;id=4f321356-b2a7-e911-a86f-000d3ae10f1f","4f321356-b2a7-e911-a86f-000d3ae10f1f")</f>
        <v>4f321356-b2a7-e911-a86f-000d3ae10f1f</v>
      </c>
      <c r="IL6" t="inlineStr">
        <is>
          <t>2072</t>
        </is>
      </c>
      <c r="IM6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6" t="inlineStr">
        <is>
          <t># HWORLD</t>
        </is>
      </c>
      <c r="IO6" t="inlineStr" s="6">
        <f>HYPERLINK("https://metagenicsd365.crm6.dynamics.com/main.aspx?etn=meta_segment&amp;pagetype=entityrecord&amp;id=44e3a56e-8030-eb11-a813-000d3ae15585","44e3a56e-8030-eb11-a813-000d3ae15585")</f>
        <v>44e3a56e-8030-eb11-a813-000d3ae15585</v>
      </c>
      <c r="IP6" t="inlineStr">
        <is>
          <t>10 - New accounts opened</t>
        </is>
      </c>
      <c r="IQ6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6" t="inlineStr">
        <is>
          <t>APH0</t>
        </is>
      </c>
      <c r="IU6" t="b">
        <v>0</v>
      </c>
      <c r="IV6" t="inlineStr">
        <is>
          <t>No</t>
        </is>
      </c>
      <c r="IZ6">
        <v>951850000</v>
      </c>
      <c r="JA6" t="inlineStr">
        <is>
          <t>Billing</t>
        </is>
      </c>
      <c r="JE6" t="b">
        <v>0</v>
      </c>
      <c r="JF6" t="inlineStr">
        <is>
          <t>No</t>
        </is>
      </c>
      <c r="JT6">
        <v>951850001</v>
      </c>
      <c r="JU6" t="inlineStr">
        <is>
          <t>EXP - Standard Shipping</t>
        </is>
      </c>
      <c r="JY6" t="inlineStr" s="6">
        <f>HYPERLINK("https://metagenicsd365.crm6.dynamics.com/main.aspx?etn=meta_suburb&amp;pagetype=entityrecord&amp;id=27b5082c-b5a7-e911-a873-000d3ae10139","27b5082c-b5a7-e911-a873-000d3ae10139")</f>
        <v>27b5082c-b5a7-e911-a873-000d3ae10139</v>
      </c>
      <c r="JZ6" t="inlineStr">
        <is>
          <t>GORDON</t>
        </is>
      </c>
      <c r="KB6">
        <v>0.0000</v>
      </c>
      <c r="KC6">
        <v>0.0000</v>
      </c>
      <c r="KD6" s="3">
        <v>46122.659502314818</v>
      </c>
      <c r="KE6">
        <v>1</v>
      </c>
      <c r="KF6">
        <v>0.0000</v>
      </c>
      <c r="KG6">
        <v>0.0000</v>
      </c>
      <c r="KH6" s="3">
        <v>46122.659502314818</v>
      </c>
      <c r="KI6">
        <v>1</v>
      </c>
      <c r="KJ6">
        <v>0.0000</v>
      </c>
      <c r="KK6">
        <v>0.0000</v>
      </c>
      <c r="KL6" s="3">
        <v>46122.659502314818</v>
      </c>
      <c r="KM6">
        <v>1</v>
      </c>
      <c r="KN6" t="b">
        <v>0</v>
      </c>
      <c r="KO6" t="inlineStr">
        <is>
          <t>No</t>
        </is>
      </c>
      <c r="KP6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6" t="inlineStr">
        <is>
          <t>Sriganesh Subramanian</t>
        </is>
      </c>
      <c r="KT6" s="3">
        <v>46086.42392361111</v>
      </c>
      <c r="LA6" t="b">
        <v>0</v>
      </c>
      <c r="LB6" t="inlineStr">
        <is>
          <t>No</t>
        </is>
      </c>
      <c r="LH6" t="inlineStr">
        <is>
          <t>Priceline Pharmacy Gordon Prac</t>
        </is>
      </c>
      <c r="LO6">
        <v>0</v>
      </c>
      <c r="LP6" s="3">
        <v>46122.659502314818</v>
      </c>
      <c r="LQ6">
        <v>1</v>
      </c>
      <c r="LR6">
        <v>0.0000</v>
      </c>
      <c r="LS6">
        <v>0.0000</v>
      </c>
      <c r="LT6" s="3">
        <v>46122.659502314818</v>
      </c>
      <c r="LU6">
        <v>1</v>
      </c>
      <c r="LY6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6" t="inlineStr">
        <is>
          <t>Australia</t>
        </is>
      </c>
      <c r="MA6" t="inlineStr">
        <is>
          <t>team</t>
        </is>
      </c>
      <c r="MD6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6" t="inlineStr">
        <is>
          <t>Australia</t>
        </is>
      </c>
      <c r="MF6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L6" t="b">
        <v>0</v>
      </c>
      <c r="MM6" t="inlineStr">
        <is>
          <t>No</t>
        </is>
      </c>
      <c r="MT6">
        <v>1</v>
      </c>
      <c r="MU6" t="inlineStr">
        <is>
          <t>Any</t>
        </is>
      </c>
      <c r="NB6" t="inlineStr" s="6">
        <f>HYPERLINK("https://metagenicsd365.crm6.dynamics.com/main.aspx?etn=contact&amp;pagetype=entityrecord&amp;id=659a3681-2a24-ed11-9db1-00224818a002","659a3681-2a24-ed11-9db1-00224818a002")</f>
        <v>659a3681-2a24-ed11-9db1-00224818a002</v>
      </c>
      <c r="NC6" t="inlineStr">
        <is>
          <t>Yogita Tarak</t>
        </is>
      </c>
      <c r="NJ6">
        <v>1</v>
      </c>
      <c r="NK6" t="inlineStr">
        <is>
          <t>Airborne</t>
        </is>
      </c>
      <c r="NR6">
        <v>0</v>
      </c>
      <c r="NS6" t="inlineStr">
        <is>
          <t>Active</t>
        </is>
      </c>
      <c r="NT6">
        <v>1</v>
      </c>
      <c r="NU6" t="inlineStr">
        <is>
          <t>Active</t>
        </is>
      </c>
      <c r="NX6" t="inlineStr">
        <is>
          <t>+61294986465</t>
        </is>
      </c>
      <c r="NY6" t="inlineStr">
        <is>
          <t>+61294986465</t>
        </is>
      </c>
      <c r="OA6">
        <v>1</v>
      </c>
      <c r="OB6" t="inlineStr">
        <is>
          <t>Default Value</t>
        </is>
      </c>
      <c r="OH6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6" t="inlineStr">
        <is>
          <t>Australian Dollar</t>
        </is>
      </c>
      <c r="OL6" t="inlineStr">
        <is>
          <t>0x000000003E55B4BB</t>
        </is>
      </c>
    </row>
    <row r="7">
      <c r="C7">
        <v>1</v>
      </c>
      <c r="D7" t="inlineStr">
        <is>
          <t>Default Value</t>
        </is>
      </c>
      <c r="E7" t="inlineStr" s="6">
        <f>HYPERLINK("https://metagenicsd365.crm6.dynamics.com/main.aspx?etn=account&amp;pagetype=entityrecord&amp;id=cfbec289-4e7c-ef11-ac20-000d3a792cf6","cfbec289-4e7c-ef11-ac20-000d3a792cf6")</f>
        <v>cfbec289-4e7c-ef11-ac20-000d3a792cf6</v>
      </c>
      <c r="F7" t="inlineStr">
        <is>
          <t>000001063111</t>
        </is>
      </c>
      <c r="G7">
        <v>1</v>
      </c>
      <c r="H7" t="inlineStr">
        <is>
          <t>Default Value</t>
        </is>
      </c>
      <c r="I7" t="inlineStr" s="6">
        <f>HYPERLINK("https://metagenicsd365.crm6.dynamics.com/main.aspx?etn=account&amp;pagetype=entityrecord&amp;id=5951e141-add6-444c-8bdf-f9faf8be6aef","5951e141-add6-444c-8bdf-f9faf8be6aef")</f>
        <v>5951e141-add6-444c-8bdf-f9faf8be6aef</v>
      </c>
      <c r="L7" t="inlineStr">
        <is>
          <t>/meta_suburbs(ed489ce9-b3a7-e911-a873-000d3ae10139)</t>
        </is>
      </c>
      <c r="M7" t="inlineStr">
        <is>
          <t>SHOP RC12 ROBINA SUPER CENTRE 84-106 ROBINA TOWN CENTRE DRIVE
/meta_suburbs(ed489ce9-b3a7-e911-a873-000d3ae10139), QLD</t>
        </is>
      </c>
      <c r="T7" t="inlineStr">
        <is>
          <t>SHOP RC12 ROBINA SUPER CENTRE 84-106 ROBINA TOWN CENTRE DRIVE</t>
        </is>
      </c>
      <c r="AD7" t="inlineStr">
        <is>
          <t>QLD</t>
        </is>
      </c>
      <c r="AE7" t="inlineStr">
        <is>
          <t>07 5562 0966</t>
        </is>
      </c>
      <c r="AJ7" t="inlineStr" s="6">
        <f>HYPERLINK("https://metagenicsd365.crm6.dynamics.com/main.aspx?etn=account&amp;pagetype=entityrecord&amp;id=062d1b60-3876-4936-8eaa-6af0202db2c4","062d1b60-3876-4936-8eaa-6af0202db2c4")</f>
        <v>062d1b60-3876-4936-8eaa-6af0202db2c4</v>
      </c>
      <c r="AK7">
        <v>1</v>
      </c>
      <c r="AL7" t="inlineStr">
        <is>
          <t>Default Value</t>
        </is>
      </c>
      <c r="AM7" t="inlineStr">
        <is>
          <t>/meta_suburbs(ed489ce9-b3a7-e911-a873-000d3ae10139)</t>
        </is>
      </c>
      <c r="AN7" t="inlineStr">
        <is>
          <t>SHOP RC12 ROBINA SUPER CENTRE 84-106 ROBINA TOWN CENTRE DRIVE
/meta_suburbs(ed489ce9-b3a7-e911-a873-000d3ae10139), QLD</t>
        </is>
      </c>
      <c r="AR7">
        <v>1</v>
      </c>
      <c r="AS7" t="inlineStr">
        <is>
          <t>Default Value</t>
        </is>
      </c>
      <c r="AU7" t="inlineStr">
        <is>
          <t>SHOP RC12 ROBINA SUPER CENTRE 84-106 ROBINA TOWN CENTRE DRIVE</t>
        </is>
      </c>
      <c r="BC7">
        <v>1</v>
      </c>
      <c r="BD7" t="inlineStr">
        <is>
          <t>Default Value</t>
        </is>
      </c>
      <c r="BE7" t="inlineStr">
        <is>
          <t>QLD</t>
        </is>
      </c>
      <c r="BU7">
        <v>1</v>
      </c>
      <c r="BV7" t="inlineStr">
        <is>
          <t>Default Value</t>
        </is>
      </c>
      <c r="BY7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7" t="inlineStr">
        <is>
          <t>SVC_D365_CE #</t>
        </is>
      </c>
      <c r="CC7" s="3">
        <v>45561.896180555559</v>
      </c>
      <c r="CH7" t="b">
        <v>0</v>
      </c>
      <c r="CI7" t="inlineStr">
        <is>
          <t>No</t>
        </is>
      </c>
      <c r="CJ7">
        <v>1</v>
      </c>
      <c r="CK7" t="inlineStr">
        <is>
          <t>Default Value</t>
        </is>
      </c>
      <c r="CN7" t="inlineStr" s="6">
        <f>HYPERLINK("https://metagenicsd365.crm6.dynamics.com/main.aspx?etn=pricelevel&amp;pagetype=entityrecord&amp;id=10e3d934-44a7-e911-a86f-000d3ae10f1f","10e3d934-44a7-e911-a86f-000d3ae10f1f")</f>
        <v>10e3d934-44a7-e911-a86f-000d3ae10f1f</v>
      </c>
      <c r="CO7" t="inlineStr">
        <is>
          <t>Retail Products Australia</t>
        </is>
      </c>
      <c r="CQ7" t="b">
        <v>0</v>
      </c>
      <c r="CR7" t="inlineStr">
        <is>
          <t>Allow</t>
        </is>
      </c>
      <c r="CS7" t="b">
        <v>0</v>
      </c>
      <c r="CT7" t="inlineStr">
        <is>
          <t>No</t>
        </is>
      </c>
      <c r="CU7" t="b">
        <v>0</v>
      </c>
      <c r="CV7" t="inlineStr">
        <is>
          <t>Allow</t>
        </is>
      </c>
      <c r="CW7" t="b">
        <v>0</v>
      </c>
      <c r="CX7" t="inlineStr">
        <is>
          <t>Allow</t>
        </is>
      </c>
      <c r="CY7" t="b">
        <v>0</v>
      </c>
      <c r="CZ7" t="inlineStr">
        <is>
          <t>Allow</t>
        </is>
      </c>
      <c r="DA7" t="b">
        <v>0</v>
      </c>
      <c r="DB7" t="inlineStr">
        <is>
          <t>Allow</t>
        </is>
      </c>
      <c r="DC7" t="b">
        <v>0</v>
      </c>
      <c r="DD7" t="inlineStr">
        <is>
          <t>Send</t>
        </is>
      </c>
      <c r="DE7" t="inlineStr">
        <is>
          <t>robinastockcontroller@goodpricepharmacy.com.au</t>
        </is>
      </c>
      <c r="DF7" t="inlineStr">
        <is>
          <t>robinastockcontroller@goodpricepharmacy.com.au</t>
        </is>
      </c>
      <c r="DH7" t="inlineStr">
        <is>
          <t>9157b84a-d57e-ef11-ac21-002248e1fbd7</t>
        </is>
      </c>
      <c r="DO7">
        <v>1.0000000000</v>
      </c>
      <c r="DQ7" t="b">
        <v>1</v>
      </c>
      <c r="DR7" t="inlineStr">
        <is>
          <t>Allow</t>
        </is>
      </c>
      <c r="EA7" t="b">
        <v>0</v>
      </c>
      <c r="EB7" t="inlineStr">
        <is>
          <t>No</t>
        </is>
      </c>
      <c r="EE7" t="b">
        <v>0</v>
      </c>
      <c r="EF7" t="inlineStr">
        <is>
          <t>No</t>
        </is>
      </c>
      <c r="EG7" t="inlineStr">
        <is>
          <t>No</t>
        </is>
      </c>
      <c r="EJ7" t="inlineStr">
        <is>
          <t>951850000</t>
        </is>
      </c>
      <c r="EK7" t="inlineStr">
        <is>
          <t>Retail</t>
        </is>
      </c>
      <c r="EL7" s="3">
        <v>45561.896041666667</v>
      </c>
      <c r="EM7" s="3">
        <v>93138.99998842593</v>
      </c>
      <c r="EN7" t="inlineStr">
        <is>
          <t>Retail ENC</t>
        </is>
      </c>
      <c r="EO7" t="b">
        <v>0</v>
      </c>
      <c r="EP7" t="inlineStr">
        <is>
          <t>No</t>
        </is>
      </c>
      <c r="EQ7" t="inlineStr">
        <is>
          <t>No</t>
        </is>
      </c>
      <c r="ER7" t="inlineStr">
        <is>
          <t>https://metagenicscorpaus.sharepoint.com/:f:/s/TMsRETAIL/EhgHzCFObfdIgSN1AkU3YhYBHNKT_BX9761p5NCYak0clw?e=hVvbbG</t>
        </is>
      </c>
      <c r="EU7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7" t="inlineStr">
        <is>
          <t>Australia</t>
        </is>
      </c>
      <c r="EW7">
        <v>951850014</v>
      </c>
      <c r="EX7" t="inlineStr">
        <is>
          <t>RETON</t>
        </is>
      </c>
      <c r="EY7" t="inlineStr" s="6">
        <f>HYPERLINK("https://metagenicsd365.crm6.dynamics.com/main.aspx?etn=meta_postcode&amp;pagetype=entityrecord&amp;id=4378b23d-b2a7-e911-a86f-000d3ae10f1f","4378b23d-b2a7-e911-a86f-000d3ae10f1f")</f>
        <v>4378b23d-b2a7-e911-a86f-000d3ae10f1f</v>
      </c>
      <c r="EZ7" t="inlineStr">
        <is>
          <t>4226</t>
        </is>
      </c>
      <c r="FA7" t="inlineStr" s="6">
        <f>HYPERLINK("https://metagenicsd365.crm6.dynamics.com/main.aspx?etn=meta_suburb&amp;pagetype=entityrecord&amp;id=ed489ce9-b3a7-e911-a873-000d3ae10139","ed489ce9-b3a7-e911-a873-000d3ae10139")</f>
        <v>ed489ce9-b3a7-e911-a873-000d3ae10139</v>
      </c>
      <c r="FB7" t="inlineStr">
        <is>
          <t>ROBINA</t>
        </is>
      </c>
      <c r="FC7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7" t="inlineStr">
        <is>
          <t>Australia</t>
        </is>
      </c>
      <c r="FE7" t="inlineStr">
        <is>
          <t>0000000000001063111</t>
        </is>
      </c>
      <c r="FM7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7" t="inlineStr">
        <is>
          <t>Australia</t>
        </is>
      </c>
      <c r="FO7" t="b">
        <v>1</v>
      </c>
      <c r="FP7" t="inlineStr">
        <is>
          <t>Yes</t>
        </is>
      </c>
      <c r="FQ7" t="inlineStr">
        <is>
          <t>RETON</t>
        </is>
      </c>
      <c r="FW7" t="b">
        <v>0</v>
      </c>
      <c r="FX7" t="inlineStr">
        <is>
          <t>No</t>
        </is>
      </c>
      <c r="GA7" t="inlineStr">
        <is>
          <t>ABL10549440</t>
        </is>
      </c>
      <c r="GB7" t="inlineStr" s="6">
        <f>HYPERLINK("https://metagenicsd365.crm6.dynamics.com/main.aspx?etn=meta_group&amp;pagetype=entityrecord&amp;id=a98880f6-b1a7-e911-a862-000d3ae10c61","a98880f6-b1a7-e911-a862-000d3ae10c61")</f>
        <v>a98880f6-b1a7-e911-a862-000d3ae10c61</v>
      </c>
      <c r="GC7" t="inlineStr">
        <is>
          <t>Good Price Pharmacy</t>
        </is>
      </c>
      <c r="GD7">
        <v>951850000</v>
      </c>
      <c r="GE7" t="inlineStr">
        <is>
          <t>Pending</t>
        </is>
      </c>
      <c r="GF7">
        <v>0.0000</v>
      </c>
      <c r="GG7">
        <v>0.0000</v>
      </c>
      <c r="GH7" s="3">
        <v>46122.659502314818</v>
      </c>
      <c r="GI7">
        <v>1</v>
      </c>
      <c r="GL7" t="b">
        <v>1</v>
      </c>
      <c r="GM7" t="inlineStr">
        <is>
          <t>Yes</t>
        </is>
      </c>
      <c r="GO7" s="3">
        <v>46122.659502314818</v>
      </c>
      <c r="GQ7" s="3">
        <v>46074.2058912037</v>
      </c>
      <c r="GR7" s="3">
        <v>46122.659502314818</v>
      </c>
      <c r="GS7">
        <v>1</v>
      </c>
      <c r="GT7" s="3">
        <v>46030.273738425924</v>
      </c>
      <c r="GU7" s="3">
        <v>46122.659502314818</v>
      </c>
      <c r="GV7">
        <v>1</v>
      </c>
      <c r="GY7" t="inlineStr">
        <is>
          <t>000001063111</t>
        </is>
      </c>
      <c r="HB7" t="inlineStr">
        <is>
          <t>GPPW ROBINA</t>
        </is>
      </c>
      <c r="HC7" t="inlineStr">
        <is>
          <t>P0R20</t>
        </is>
      </c>
      <c r="HI7">
        <v>70897.5400</v>
      </c>
      <c r="HJ7">
        <v>70897.5400</v>
      </c>
      <c r="HK7" s="3">
        <v>46122.659502314818</v>
      </c>
      <c r="HL7">
        <v>1</v>
      </c>
      <c r="HM7">
        <v>0.0000</v>
      </c>
      <c r="HN7">
        <v>0.0000</v>
      </c>
      <c r="HO7" s="3">
        <v>46122.659502314818</v>
      </c>
      <c r="HP7">
        <v>1</v>
      </c>
      <c r="HX7" t="inlineStr" s="6">
        <f>HYPERLINK("https://metagenicsd365.crm6.dynamics.com/main.aspx?etn=meta_paymentterm&amp;pagetype=entityrecord&amp;id=0768c959-38ba-eb11-8236-00224817f624","0768c959-38ba-eb11-8236-00224817f624")</f>
        <v>0768c959-38ba-eb11-8236-00224817f624</v>
      </c>
      <c r="HY7" t="inlineStr">
        <is>
          <t>Net 30 Days End of Month</t>
        </is>
      </c>
      <c r="IC7" t="inlineStr">
        <is>
          <t>QLD</t>
        </is>
      </c>
      <c r="ID7" t="inlineStr">
        <is>
          <t>SHOP RC12 ROBINA SUPER CENTRE 84-106 ROBINA TOWN CENTRE DRIVE</t>
        </is>
      </c>
      <c r="IE7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7" t="inlineStr">
        <is>
          <t>Australia</t>
        </is>
      </c>
      <c r="IG7" t="inlineStr" s="6">
        <f>HYPERLINK("https://metagenicsd365.crm6.dynamics.com/main.aspx?etn=meta_postcode&amp;pagetype=entityrecord&amp;id=4378b23d-b2a7-e911-a86f-000d3ae10f1f","4378b23d-b2a7-e911-a86f-000d3ae10f1f")</f>
        <v>4378b23d-b2a7-e911-a86f-000d3ae10f1f</v>
      </c>
      <c r="IH7" t="inlineStr">
        <is>
          <t>4226</t>
        </is>
      </c>
      <c r="II7" t="inlineStr" s="6">
        <f>HYPERLINK("https://metagenicsd365.crm6.dynamics.com/main.aspx?etn=meta_suburb&amp;pagetype=entityrecord&amp;id=ed489ce9-b3a7-e911-a873-000d3ae10139","ed489ce9-b3a7-e911-a873-000d3ae10139")</f>
        <v>ed489ce9-b3a7-e911-a873-000d3ae10139</v>
      </c>
      <c r="IJ7" t="inlineStr">
        <is>
          <t>ROBINA</t>
        </is>
      </c>
      <c r="IK7" t="inlineStr" s="6">
        <f>HYPERLINK("https://metagenicsd365.crm6.dynamics.com/main.aspx?etn=meta_postcode&amp;pagetype=entityrecord&amp;id=4378b23d-b2a7-e911-a86f-000d3ae10f1f","4378b23d-b2a7-e911-a86f-000d3ae10f1f")</f>
        <v>4378b23d-b2a7-e911-a86f-000d3ae10f1f</v>
      </c>
      <c r="IL7" t="inlineStr">
        <is>
          <t>4226</t>
        </is>
      </c>
      <c r="IZ7">
        <v>951850000</v>
      </c>
      <c r="JA7" t="inlineStr">
        <is>
          <t>Billing</t>
        </is>
      </c>
      <c r="JE7" t="b">
        <v>0</v>
      </c>
      <c r="JF7" t="inlineStr">
        <is>
          <t>No</t>
        </is>
      </c>
      <c r="JI7" t="inlineStr" s="6">
        <f>HYPERLINK("https://metagenicsd365.crm6.dynamics.com/main.aspx?etn=systemuser&amp;pagetype=entityrecord&amp;id=2fe8cc99-b77c-eb11-a812-00224814dd5f","2fe8cc99-b77c-eb11-a812-00224814dd5f")</f>
        <v>2fe8cc99-b77c-eb11-a812-00224814dd5f</v>
      </c>
      <c r="JJ7" t="inlineStr">
        <is>
          <t>Jessica Neal</t>
        </is>
      </c>
      <c r="JK7" t="inlineStr" s="6">
        <f>HYPERLINK("https://metagenicsd365.crm6.dynamics.com/main.aspx?etn=meta_segment&amp;pagetype=entityrecord&amp;id=91f55b6c-8030-eb11-a813-000d3ae1554c","91f55b6c-8030-eb11-a813-000d3ae1554c")</f>
        <v>91f55b6c-8030-eb11-a813-000d3ae1554c</v>
      </c>
      <c r="JL7" t="inlineStr">
        <is>
          <t>6 - Scaled retail pharmacy</t>
        </is>
      </c>
      <c r="JM7" t="inlineStr" s="6">
        <f>HYPERLINK("https://metagenicsd365.crm6.dynamics.com/main.aspx?etn=territory&amp;pagetype=entityrecord&amp;id=c32acde0-8030-eb11-a813-000d3ae1554c","c32acde0-8030-eb11-a813-000d3ae1554c")</f>
        <v>c32acde0-8030-eb11-a813-000d3ae1554c</v>
      </c>
      <c r="JN7" t="inlineStr">
        <is>
          <t>7R03</t>
        </is>
      </c>
      <c r="JT7">
        <v>951850001</v>
      </c>
      <c r="JU7" t="inlineStr">
        <is>
          <t>EXP - Standard Shipping</t>
        </is>
      </c>
      <c r="JY7" t="inlineStr" s="6">
        <f>HYPERLINK("https://metagenicsd365.crm6.dynamics.com/main.aspx?etn=meta_suburb&amp;pagetype=entityrecord&amp;id=ed489ce9-b3a7-e911-a873-000d3ae10139","ed489ce9-b3a7-e911-a873-000d3ae10139")</f>
        <v>ed489ce9-b3a7-e911-a873-000d3ae10139</v>
      </c>
      <c r="JZ7" t="inlineStr">
        <is>
          <t>ROBINA</t>
        </is>
      </c>
      <c r="KB7">
        <v>70897.5400</v>
      </c>
      <c r="KC7">
        <v>70897.5400</v>
      </c>
      <c r="KD7" s="3">
        <v>46122.659502314818</v>
      </c>
      <c r="KE7">
        <v>1</v>
      </c>
      <c r="KF7">
        <v>0.0000</v>
      </c>
      <c r="KG7">
        <v>0.0000</v>
      </c>
      <c r="KH7" s="3">
        <v>46122.659502314818</v>
      </c>
      <c r="KI7">
        <v>1</v>
      </c>
      <c r="KJ7">
        <v>0.0000</v>
      </c>
      <c r="KK7">
        <v>0.0000</v>
      </c>
      <c r="KL7" s="3">
        <v>46122.659502314818</v>
      </c>
      <c r="KM7">
        <v>1</v>
      </c>
      <c r="KN7" t="b">
        <v>0</v>
      </c>
      <c r="KO7" t="inlineStr">
        <is>
          <t>No</t>
        </is>
      </c>
      <c r="KP7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7" t="inlineStr">
        <is>
          <t>Sriganesh Subramanian</t>
        </is>
      </c>
      <c r="KT7" s="3">
        <v>46086.464432870373</v>
      </c>
      <c r="LA7" t="b">
        <v>0</v>
      </c>
      <c r="LB7" t="inlineStr">
        <is>
          <t>No</t>
        </is>
      </c>
      <c r="LH7" t="inlineStr">
        <is>
          <t>GPPW ROBINA</t>
        </is>
      </c>
      <c r="LO7">
        <v>0</v>
      </c>
      <c r="LP7" s="3">
        <v>46122.659502314818</v>
      </c>
      <c r="LQ7">
        <v>1</v>
      </c>
      <c r="LR7">
        <v>0.0000</v>
      </c>
      <c r="LS7">
        <v>0.0000</v>
      </c>
      <c r="LT7" s="3">
        <v>46122.659502314818</v>
      </c>
      <c r="LU7">
        <v>1</v>
      </c>
      <c r="LY7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7" t="inlineStr">
        <is>
          <t>Australia</t>
        </is>
      </c>
      <c r="MA7" t="inlineStr">
        <is>
          <t>team</t>
        </is>
      </c>
      <c r="MD7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7" t="inlineStr">
        <is>
          <t>Australia</t>
        </is>
      </c>
      <c r="MF7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L7" t="b">
        <v>0</v>
      </c>
      <c r="MM7" t="inlineStr">
        <is>
          <t>No</t>
        </is>
      </c>
      <c r="MT7">
        <v>1</v>
      </c>
      <c r="MU7" t="inlineStr">
        <is>
          <t>Any</t>
        </is>
      </c>
      <c r="NB7" t="inlineStr" s="6">
        <f>HYPERLINK("https://metagenicsd365.crm6.dynamics.com/main.aspx?etn=contact&amp;pagetype=entityrecord&amp;id=511a79a1-b4cb-ee11-9079-6045bd3dbbd8","511a79a1-b4cb-ee11-9079-6045bd3dbbd8")</f>
        <v>511a79a1-b4cb-ee11-9079-6045bd3dbbd8</v>
      </c>
      <c r="NC7" t="inlineStr">
        <is>
          <t>ALEX CHUNG OWNER</t>
        </is>
      </c>
      <c r="NJ7">
        <v>1</v>
      </c>
      <c r="NK7" t="inlineStr">
        <is>
          <t>Airborne</t>
        </is>
      </c>
      <c r="NR7">
        <v>0</v>
      </c>
      <c r="NS7" t="inlineStr">
        <is>
          <t>Active</t>
        </is>
      </c>
      <c r="NT7">
        <v>1</v>
      </c>
      <c r="NU7" t="inlineStr">
        <is>
          <t>Active</t>
        </is>
      </c>
      <c r="NX7" t="inlineStr">
        <is>
          <t>07 5562 0966</t>
        </is>
      </c>
      <c r="NY7" t="inlineStr">
        <is>
          <t>07 5562 0966</t>
        </is>
      </c>
      <c r="OA7">
        <v>1</v>
      </c>
      <c r="OB7" t="inlineStr">
        <is>
          <t>Default Value</t>
        </is>
      </c>
      <c r="OG7">
        <v>0</v>
      </c>
      <c r="OH7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7" t="inlineStr">
        <is>
          <t>Australian Dollar</t>
        </is>
      </c>
      <c r="OL7" t="inlineStr">
        <is>
          <t>0x000000003D838645</t>
        </is>
      </c>
    </row>
    <row r="8">
      <c r="C8">
        <v>1</v>
      </c>
      <c r="D8" t="inlineStr">
        <is>
          <t>Default Value</t>
        </is>
      </c>
      <c r="E8" t="inlineStr" s="6">
        <f>HYPERLINK("https://metagenicsd365.crm6.dynamics.com/main.aspx?etn=account&amp;pagetype=entityrecord&amp;id=3a205be0-6b7c-ef11-ac20-000d3a792cf6","3a205be0-6b7c-ef11-ac20-000d3a792cf6")</f>
        <v>3a205be0-6b7c-ef11-ac20-000d3a792cf6</v>
      </c>
      <c r="F8" t="inlineStr">
        <is>
          <t>000001062331</t>
        </is>
      </c>
      <c r="G8">
        <v>1</v>
      </c>
      <c r="H8" t="inlineStr">
        <is>
          <t>Default Value</t>
        </is>
      </c>
      <c r="I8" t="inlineStr" s="6">
        <f>HYPERLINK("https://metagenicsd365.crm6.dynamics.com/main.aspx?etn=account&amp;pagetype=entityrecord&amp;id=6ab93036-79d6-4220-8e55-05cd5f3f0dda","6ab93036-79d6-4220-8e55-05cd5f3f0dda")</f>
        <v>6ab93036-79d6-4220-8e55-05cd5f3f0dda</v>
      </c>
      <c r="M8" t="inlineStr">
        <is>
          <t>SHOP SP047 TOORMINA GARDENS S/CENTRE 5 TOORMINA ROAD
NSW</t>
        </is>
      </c>
      <c r="T8" t="inlineStr">
        <is>
          <t>SHOP SP047 TOORMINA GARDENS S/CENTRE 5 TOORMINA ROAD</t>
        </is>
      </c>
      <c r="AD8" t="inlineStr">
        <is>
          <t>NSW</t>
        </is>
      </c>
      <c r="AJ8" t="inlineStr" s="6">
        <f>HYPERLINK("https://metagenicsd365.crm6.dynamics.com/main.aspx?etn=account&amp;pagetype=entityrecord&amp;id=7c1a2304-86c8-499c-b203-5f940f90ee4e","7c1a2304-86c8-499c-b203-5f940f90ee4e")</f>
        <v>7c1a2304-86c8-499c-b203-5f940f90ee4e</v>
      </c>
      <c r="AK8">
        <v>1</v>
      </c>
      <c r="AL8" t="inlineStr">
        <is>
          <t>Default Value</t>
        </is>
      </c>
      <c r="AN8" t="inlineStr">
        <is>
          <t>SHOP SP047 TOORMINA GARDENS S/CENTRE 5 TOORMINA ROAD
NSW</t>
        </is>
      </c>
      <c r="AR8">
        <v>1</v>
      </c>
      <c r="AS8" t="inlineStr">
        <is>
          <t>Default Value</t>
        </is>
      </c>
      <c r="AU8" t="inlineStr">
        <is>
          <t>SHOP SP047 TOORMINA GARDENS S/CENTRE 5 TOORMINA ROAD</t>
        </is>
      </c>
      <c r="BC8">
        <v>1</v>
      </c>
      <c r="BD8" t="inlineStr">
        <is>
          <t>Default Value</t>
        </is>
      </c>
      <c r="BE8" t="inlineStr">
        <is>
          <t>NSW</t>
        </is>
      </c>
      <c r="BU8">
        <v>1</v>
      </c>
      <c r="BV8" t="inlineStr">
        <is>
          <t>Default Value</t>
        </is>
      </c>
      <c r="BY8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8" t="inlineStr">
        <is>
          <t>SVC_D365_CE #</t>
        </is>
      </c>
      <c r="CC8" s="3">
        <v>45562.042013888888</v>
      </c>
      <c r="CF8">
        <v>0.0000</v>
      </c>
      <c r="CG8">
        <v>0.0000</v>
      </c>
      <c r="CH8" t="b">
        <v>0</v>
      </c>
      <c r="CI8" t="inlineStr">
        <is>
          <t>No</t>
        </is>
      </c>
      <c r="CJ8">
        <v>1</v>
      </c>
      <c r="CK8" t="inlineStr">
        <is>
          <t>Default Value</t>
        </is>
      </c>
      <c r="CN8" t="inlineStr" s="6">
        <f>HYPERLINK("https://metagenicsd365.crm6.dynamics.com/main.aspx?etn=pricelevel&amp;pagetype=entityrecord&amp;id=10e3d934-44a7-e911-a86f-000d3ae10f1f","10e3d934-44a7-e911-a86f-000d3ae10f1f")</f>
        <v>10e3d934-44a7-e911-a86f-000d3ae10f1f</v>
      </c>
      <c r="CO8" t="inlineStr">
        <is>
          <t>Retail Products Australia</t>
        </is>
      </c>
      <c r="CQ8" t="b">
        <v>0</v>
      </c>
      <c r="CR8" t="inlineStr">
        <is>
          <t>Allow</t>
        </is>
      </c>
      <c r="CS8" t="b">
        <v>0</v>
      </c>
      <c r="CT8" t="inlineStr">
        <is>
          <t>No</t>
        </is>
      </c>
      <c r="CU8" t="b">
        <v>0</v>
      </c>
      <c r="CV8" t="inlineStr">
        <is>
          <t>Allow</t>
        </is>
      </c>
      <c r="CW8" t="b">
        <v>0</v>
      </c>
      <c r="CX8" t="inlineStr">
        <is>
          <t>Allow</t>
        </is>
      </c>
      <c r="CY8" t="b">
        <v>0</v>
      </c>
      <c r="CZ8" t="inlineStr">
        <is>
          <t>Allow</t>
        </is>
      </c>
      <c r="DA8" t="b">
        <v>0</v>
      </c>
      <c r="DB8" t="inlineStr">
        <is>
          <t>Allow</t>
        </is>
      </c>
      <c r="DC8" t="b">
        <v>0</v>
      </c>
      <c r="DD8" t="inlineStr">
        <is>
          <t>Send</t>
        </is>
      </c>
      <c r="DF8" t="inlineStr">
        <is>
          <t>toormina@blooms.net.au</t>
        </is>
      </c>
      <c r="DH8" t="inlineStr">
        <is>
          <t>7afaf155-7b7d-f011-b4cc-6045bd3f42ae</t>
        </is>
      </c>
      <c r="DO8">
        <v>1.0000000000</v>
      </c>
      <c r="DQ8" t="b">
        <v>1</v>
      </c>
      <c r="DR8" t="inlineStr">
        <is>
          <t>Allow</t>
        </is>
      </c>
      <c r="EA8" t="b">
        <v>0</v>
      </c>
      <c r="EB8" t="inlineStr">
        <is>
          <t>No</t>
        </is>
      </c>
      <c r="EE8" t="b">
        <v>0</v>
      </c>
      <c r="EF8" t="inlineStr">
        <is>
          <t>No</t>
        </is>
      </c>
      <c r="EJ8" t="inlineStr">
        <is>
          <t>951850000</t>
        </is>
      </c>
      <c r="EK8" t="inlineStr">
        <is>
          <t>Retail</t>
        </is>
      </c>
      <c r="EL8" s="3">
        <v>45562.040555555555</v>
      </c>
      <c r="EM8" s="3">
        <v>93138.99998842593</v>
      </c>
      <c r="EO8" t="b">
        <v>0</v>
      </c>
      <c r="EP8" t="inlineStr">
        <is>
          <t>No</t>
        </is>
      </c>
      <c r="ER8" t="inlineStr">
        <is>
          <t>https://metagenicscorpaus.sharepoint.com/:f:/s/TMsRETAIL/EqzxgknPeeVIhU2T3Tl8Mp0BlYBPOHPSDfJ8BM3umL3p-w?e=rZKppk</t>
        </is>
      </c>
      <c r="ES8" t="inlineStr" s="6">
        <f>HYPERLINK("https://metagenicsd365.crm6.dynamics.com/main.aspx?etn=account&amp;pagetype=entityrecord&amp;id=94619759-c66f-ef11-a671-6045bd3f2662","94619759-c66f-ef11-a671-6045bd3f2662")</f>
        <v>94619759-c66f-ef11-a671-6045bd3f2662</v>
      </c>
      <c r="ET8" t="inlineStr">
        <is>
          <t>BLOOMS THE CHEMIST TOORMINA</t>
        </is>
      </c>
      <c r="EU8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8" t="inlineStr">
        <is>
          <t>Australia</t>
        </is>
      </c>
      <c r="EW8">
        <v>951850014</v>
      </c>
      <c r="EX8" t="inlineStr">
        <is>
          <t>RETON</t>
        </is>
      </c>
      <c r="EY8" t="inlineStr" s="6">
        <f>HYPERLINK("https://metagenicsd365.crm6.dynamics.com/main.aspx?etn=meta_postcode&amp;pagetype=entityrecord&amp;id=c950e343-b2a7-e911-a86f-000d3ae10f1f","c950e343-b2a7-e911-a86f-000d3ae10f1f")</f>
        <v>c950e343-b2a7-e911-a86f-000d3ae10f1f</v>
      </c>
      <c r="EZ8" t="inlineStr">
        <is>
          <t>2452</t>
        </is>
      </c>
      <c r="FA8" t="inlineStr" s="6">
        <f>HYPERLINK("https://metagenicsd365.crm6.dynamics.com/main.aspx?etn=meta_suburb&amp;pagetype=entityrecord&amp;id=f7424142-b4a7-e911-a873-000d3ae10cf1","f7424142-b4a7-e911-a873-000d3ae10cf1")</f>
        <v>f7424142-b4a7-e911-a873-000d3ae10cf1</v>
      </c>
      <c r="FB8" t="inlineStr">
        <is>
          <t>TOORMINA</t>
        </is>
      </c>
      <c r="FC8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8" t="inlineStr">
        <is>
          <t>Australia</t>
        </is>
      </c>
      <c r="FE8" t="inlineStr">
        <is>
          <t>0000000000001062331</t>
        </is>
      </c>
      <c r="FJ8" t="inlineStr">
        <is>
          <t>Exception Report</t>
        </is>
      </c>
      <c r="FM8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8" t="inlineStr">
        <is>
          <t>Australia</t>
        </is>
      </c>
      <c r="FO8" t="b">
        <v>1</v>
      </c>
      <c r="FP8" t="inlineStr">
        <is>
          <t>Yes</t>
        </is>
      </c>
      <c r="FQ8" t="inlineStr">
        <is>
          <t>RETON</t>
        </is>
      </c>
      <c r="FW8" t="b">
        <v>0</v>
      </c>
      <c r="FX8" t="inlineStr">
        <is>
          <t>No</t>
        </is>
      </c>
      <c r="GA8" t="inlineStr">
        <is>
          <t>ABL10550727</t>
        </is>
      </c>
      <c r="GB8" t="inlineStr" s="6">
        <f>HYPERLINK("https://metagenicsd365.crm6.dynamics.com/main.aspx?etn=meta_group&amp;pagetype=entityrecord&amp;id=256cfef6-b1a7-e911-a873-000d3ae10139","256cfef6-b1a7-e911-a873-000d3ae10139")</f>
        <v>256cfef6-b1a7-e911-a873-000d3ae10139</v>
      </c>
      <c r="GC8" t="inlineStr">
        <is>
          <t>Blooms The Chemist</t>
        </is>
      </c>
      <c r="GD8">
        <v>951850000</v>
      </c>
      <c r="GE8" t="inlineStr">
        <is>
          <t>Pending</t>
        </is>
      </c>
      <c r="GF8">
        <v>0.0000</v>
      </c>
      <c r="GG8">
        <v>0.0000</v>
      </c>
      <c r="GH8" s="3">
        <v>46122.659502314818</v>
      </c>
      <c r="GI8">
        <v>1</v>
      </c>
      <c r="GL8" t="b">
        <v>1</v>
      </c>
      <c r="GM8" t="inlineStr">
        <is>
          <t>Yes</t>
        </is>
      </c>
      <c r="GO8" s="3">
        <v>46122.659502314818</v>
      </c>
      <c r="GQ8" s="3">
        <v>46063.705474537041</v>
      </c>
      <c r="GR8" s="3">
        <v>46122.659502314818</v>
      </c>
      <c r="GS8">
        <v>1</v>
      </c>
      <c r="GT8" s="3">
        <v>45944.990972222222</v>
      </c>
      <c r="GU8" s="3">
        <v>46122.659502314818</v>
      </c>
      <c r="GV8">
        <v>1</v>
      </c>
      <c r="GY8" t="inlineStr">
        <is>
          <t>000001062331</t>
        </is>
      </c>
      <c r="GZ8" t="inlineStr">
        <is>
          <t>000000000013419</t>
        </is>
      </c>
      <c r="HB8" t="inlineStr">
        <is>
          <t>BLOOMS THE CHEMIST TOORMINA (13419)</t>
        </is>
      </c>
      <c r="HI8">
        <v>1155.1200</v>
      </c>
      <c r="HJ8">
        <v>1155.1200</v>
      </c>
      <c r="HK8" s="3">
        <v>46122.659502314818</v>
      </c>
      <c r="HL8">
        <v>1</v>
      </c>
      <c r="HM8">
        <v>0.0000</v>
      </c>
      <c r="HN8">
        <v>0.0000</v>
      </c>
      <c r="HO8" s="3">
        <v>46122.659502314818</v>
      </c>
      <c r="HP8">
        <v>1</v>
      </c>
      <c r="HX8" t="inlineStr" s="6">
        <f>HYPERLINK("https://metagenicsd365.crm6.dynamics.com/main.aspx?etn=meta_paymentterm&amp;pagetype=entityrecord&amp;id=0768c959-38ba-eb11-8236-00224817f624","0768c959-38ba-eb11-8236-00224817f624")</f>
        <v>0768c959-38ba-eb11-8236-00224817f624</v>
      </c>
      <c r="HY8" t="inlineStr">
        <is>
          <t>Net 30 Days End of Month</t>
        </is>
      </c>
      <c r="IC8" t="inlineStr">
        <is>
          <t>NSW</t>
        </is>
      </c>
      <c r="ID8" t="inlineStr">
        <is>
          <t>SHOP SP047 TOORMINA GARDENS S/CENTRE 5 TOORMINA ROAD</t>
        </is>
      </c>
      <c r="IE8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8" t="inlineStr">
        <is>
          <t>Australia</t>
        </is>
      </c>
      <c r="IG8" t="inlineStr" s="6">
        <f>HYPERLINK("https://metagenicsd365.crm6.dynamics.com/main.aspx?etn=meta_postcode&amp;pagetype=entityrecord&amp;id=c950e343-b2a7-e911-a86f-000d3ae10f1f","c950e343-b2a7-e911-a86f-000d3ae10f1f")</f>
        <v>c950e343-b2a7-e911-a86f-000d3ae10f1f</v>
      </c>
      <c r="IH8" t="inlineStr">
        <is>
          <t>2452</t>
        </is>
      </c>
      <c r="II8" t="inlineStr" s="6">
        <f>HYPERLINK("https://metagenicsd365.crm6.dynamics.com/main.aspx?etn=meta_suburb&amp;pagetype=entityrecord&amp;id=f7424142-b4a7-e911-a873-000d3ae10cf1","f7424142-b4a7-e911-a873-000d3ae10cf1")</f>
        <v>f7424142-b4a7-e911-a873-000d3ae10cf1</v>
      </c>
      <c r="IJ8" t="inlineStr">
        <is>
          <t>TOORMINA</t>
        </is>
      </c>
      <c r="IK8" t="inlineStr" s="6">
        <f>HYPERLINK("https://metagenicsd365.crm6.dynamics.com/main.aspx?etn=meta_postcode&amp;pagetype=entityrecord&amp;id=c950e343-b2a7-e911-a86f-000d3ae10f1f","c950e343-b2a7-e911-a86f-000d3ae10f1f")</f>
        <v>c950e343-b2a7-e911-a86f-000d3ae10f1f</v>
      </c>
      <c r="IL8" t="inlineStr">
        <is>
          <t>2452</t>
        </is>
      </c>
      <c r="IZ8">
        <v>951850001</v>
      </c>
      <c r="JA8" t="inlineStr">
        <is>
          <t>Location</t>
        </is>
      </c>
      <c r="JE8" t="b">
        <v>0</v>
      </c>
      <c r="JF8" t="inlineStr">
        <is>
          <t>No</t>
        </is>
      </c>
      <c r="JI8" t="inlineStr" s="6">
        <f>HYPERLINK("https://metagenicsd365.crm6.dynamics.com/main.aspx?etn=systemuser&amp;pagetype=entityrecord&amp;id=d3286ff9-ef3c-ef11-a316-6045bd3cff0f","d3286ff9-ef3c-ef11-a316-6045bd3cff0f")</f>
        <v>d3286ff9-ef3c-ef11-a316-6045bd3cff0f</v>
      </c>
      <c r="JJ8" t="inlineStr">
        <is>
          <t>Elizabeth Atkinson</t>
        </is>
      </c>
      <c r="JK8" t="inlineStr" s="6">
        <f>HYPERLINK("https://metagenicsd365.crm6.dynamics.com/main.aspx?etn=meta_segment&amp;pagetype=entityrecord&amp;id=62f55b6c-8030-eb11-a813-000d3ae1554c","62f55b6c-8030-eb11-a813-000d3ae1554c")</f>
        <v>62f55b6c-8030-eb11-a813-000d3ae1554c</v>
      </c>
      <c r="JL8" t="inlineStr">
        <is>
          <t>4 - Small retail pharmacy</t>
        </is>
      </c>
      <c r="JM8" t="inlineStr" s="6">
        <f>HYPERLINK("https://metagenicsd365.crm6.dynamics.com/main.aspx?etn=territory&amp;pagetype=entityrecord&amp;id=87640ddf-8030-eb11-a813-000d3ae15585","87640ddf-8030-eb11-a813-000d3ae15585")</f>
        <v>87640ddf-8030-eb11-a813-000d3ae15585</v>
      </c>
      <c r="JN8" t="inlineStr">
        <is>
          <t>2R02</t>
        </is>
      </c>
      <c r="JT8">
        <v>951850001</v>
      </c>
      <c r="JU8" t="inlineStr">
        <is>
          <t>EXP - Standard Shipping</t>
        </is>
      </c>
      <c r="JY8" t="inlineStr" s="6">
        <f>HYPERLINK("https://metagenicsd365.crm6.dynamics.com/main.aspx?etn=meta_suburb&amp;pagetype=entityrecord&amp;id=f7424142-b4a7-e911-a873-000d3ae10cf1","f7424142-b4a7-e911-a873-000d3ae10cf1")</f>
        <v>f7424142-b4a7-e911-a873-000d3ae10cf1</v>
      </c>
      <c r="JZ8" t="inlineStr">
        <is>
          <t>TOORMINA</t>
        </is>
      </c>
      <c r="KA8" t="inlineStr">
        <is>
          <t>Yes</t>
        </is>
      </c>
      <c r="KB8">
        <v>1155.1200</v>
      </c>
      <c r="KC8">
        <v>1155.1200</v>
      </c>
      <c r="KD8" s="3">
        <v>46122.659502314818</v>
      </c>
      <c r="KE8">
        <v>1</v>
      </c>
      <c r="KF8">
        <v>0.0000</v>
      </c>
      <c r="KG8">
        <v>0.0000</v>
      </c>
      <c r="KH8" s="3">
        <v>46122.659502314818</v>
      </c>
      <c r="KI8">
        <v>1</v>
      </c>
      <c r="KJ8">
        <v>0.0000</v>
      </c>
      <c r="KK8">
        <v>0.0000</v>
      </c>
      <c r="KL8" s="3">
        <v>46122.659502314818</v>
      </c>
      <c r="KM8">
        <v>1</v>
      </c>
      <c r="KN8" t="b">
        <v>0</v>
      </c>
      <c r="KO8" t="inlineStr">
        <is>
          <t>No</t>
        </is>
      </c>
      <c r="KP8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8" t="inlineStr">
        <is>
          <t>Sriganesh Subramanian</t>
        </is>
      </c>
      <c r="KT8" s="3">
        <v>46086.45820601852</v>
      </c>
      <c r="LA8" t="b">
        <v>0</v>
      </c>
      <c r="LB8" t="inlineStr">
        <is>
          <t>No</t>
        </is>
      </c>
      <c r="LH8" t="inlineStr">
        <is>
          <t>BLOOMS THE CHEMIST TOORMINA (13419)</t>
        </is>
      </c>
      <c r="LO8">
        <v>0</v>
      </c>
      <c r="LP8" s="3">
        <v>46122.659502314818</v>
      </c>
      <c r="LQ8">
        <v>1</v>
      </c>
      <c r="LR8">
        <v>0.0000</v>
      </c>
      <c r="LS8">
        <v>0.0000</v>
      </c>
      <c r="LT8" s="3">
        <v>46122.659502314818</v>
      </c>
      <c r="LU8">
        <v>1</v>
      </c>
      <c r="LY8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8" t="inlineStr">
        <is>
          <t>Australia</t>
        </is>
      </c>
      <c r="MA8" t="inlineStr">
        <is>
          <t>team</t>
        </is>
      </c>
      <c r="MD8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8" t="inlineStr">
        <is>
          <t>Australia</t>
        </is>
      </c>
      <c r="MF8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J8" t="inlineStr" s="6">
        <f>HYPERLINK("https://metagenicsd365.crm6.dynamics.com/main.aspx?etn=account&amp;pagetype=entityrecord&amp;id=94619759-c66f-ef11-a671-6045bd3f2662","94619759-c66f-ef11-a671-6045bd3f2662")</f>
        <v>94619759-c66f-ef11-a671-6045bd3f2662</v>
      </c>
      <c r="MK8" t="inlineStr">
        <is>
          <t>BLOOMS THE CHEMIST TOORMINA</t>
        </is>
      </c>
      <c r="ML8" t="b">
        <v>0</v>
      </c>
      <c r="MM8" t="inlineStr">
        <is>
          <t>No</t>
        </is>
      </c>
      <c r="MT8">
        <v>1</v>
      </c>
      <c r="MU8" t="inlineStr">
        <is>
          <t>Any</t>
        </is>
      </c>
      <c r="NJ8">
        <v>1</v>
      </c>
      <c r="NK8" t="inlineStr">
        <is>
          <t>Airborne</t>
        </is>
      </c>
      <c r="NR8">
        <v>0</v>
      </c>
      <c r="NS8" t="inlineStr">
        <is>
          <t>Active</t>
        </is>
      </c>
      <c r="NT8">
        <v>1</v>
      </c>
      <c r="NU8" t="inlineStr">
        <is>
          <t>Active</t>
        </is>
      </c>
      <c r="NY8" t="inlineStr">
        <is>
          <t>02 6653 1444</t>
        </is>
      </c>
      <c r="OA8">
        <v>1</v>
      </c>
      <c r="OB8" t="inlineStr">
        <is>
          <t>Default Value</t>
        </is>
      </c>
      <c r="OG8">
        <v>0</v>
      </c>
      <c r="OH8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8" t="inlineStr">
        <is>
          <t>Australian Dollar</t>
        </is>
      </c>
      <c r="OL8" t="inlineStr">
        <is>
          <t>0x000000003D8371A3</t>
        </is>
      </c>
    </row>
    <row r="9">
      <c r="C9">
        <v>1</v>
      </c>
      <c r="D9" t="inlineStr">
        <is>
          <t>Default Value</t>
        </is>
      </c>
      <c r="E9" t="inlineStr" s="6">
        <f>HYPERLINK("https://metagenicsd365.crm6.dynamics.com/main.aspx?etn=account&amp;pagetype=entityrecord&amp;id=98f68b57-0181-ef11-ac20-000d3a792cf6","98f68b57-0181-ef11-ac20-000d3a792cf6")</f>
        <v>98f68b57-0181-ef11-ac20-000d3a792cf6</v>
      </c>
      <c r="F9" t="inlineStr">
        <is>
          <t>NZ19182</t>
        </is>
      </c>
      <c r="G9">
        <v>1</v>
      </c>
      <c r="H9" t="inlineStr">
        <is>
          <t>Default Value</t>
        </is>
      </c>
      <c r="I9" t="inlineStr" s="6">
        <f>HYPERLINK("https://metagenicsd365.crm6.dynamics.com/main.aspx?etn=account&amp;pagetype=entityrecord&amp;id=ac06981f-3113-4987-a0d1-4a60211813b8","ac06981f-3113-4987-a0d1-4a60211813b8")</f>
        <v>ac06981f-3113-4987-a0d1-4a60211813b8</v>
      </c>
      <c r="M9" t="inlineStr">
        <is>
          <t>531 POLLEN STREET</t>
        </is>
      </c>
      <c r="T9" t="inlineStr">
        <is>
          <t>531 POLLEN STREET</t>
        </is>
      </c>
      <c r="AJ9" t="inlineStr" s="6">
        <f>HYPERLINK("https://metagenicsd365.crm6.dynamics.com/main.aspx?etn=account&amp;pagetype=entityrecord&amp;id=b7b1e0ec-80a9-4367-a630-cf9b4469714b","b7b1e0ec-80a9-4367-a630-cf9b4469714b")</f>
        <v>b7b1e0ec-80a9-4367-a630-cf9b4469714b</v>
      </c>
      <c r="AK9">
        <v>1</v>
      </c>
      <c r="AL9" t="inlineStr">
        <is>
          <t>Default Value</t>
        </is>
      </c>
      <c r="AN9" t="inlineStr">
        <is>
          <t>531 ROLLEN STREET</t>
        </is>
      </c>
      <c r="AR9">
        <v>1</v>
      </c>
      <c r="AS9" t="inlineStr">
        <is>
          <t>Default Value</t>
        </is>
      </c>
      <c r="AU9" t="inlineStr">
        <is>
          <t>531 ROLLEN STREET</t>
        </is>
      </c>
      <c r="BC9">
        <v>1</v>
      </c>
      <c r="BD9" t="inlineStr">
        <is>
          <t>Default Value</t>
        </is>
      </c>
      <c r="BU9">
        <v>1</v>
      </c>
      <c r="BV9" t="inlineStr">
        <is>
          <t>Default Value</t>
        </is>
      </c>
      <c r="BY9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9" t="inlineStr">
        <is>
          <t>SVC_D365_CE #</t>
        </is>
      </c>
      <c r="CC9" s="3">
        <v>45567.8753125</v>
      </c>
      <c r="CF9">
        <v>2000.0000</v>
      </c>
      <c r="CG9">
        <v>1818.1800</v>
      </c>
      <c r="CH9" t="b">
        <v>0</v>
      </c>
      <c r="CI9" t="inlineStr">
        <is>
          <t>No</t>
        </is>
      </c>
      <c r="CJ9">
        <v>1</v>
      </c>
      <c r="CK9" t="inlineStr">
        <is>
          <t>Default Value</t>
        </is>
      </c>
      <c r="CQ9" t="b">
        <v>0</v>
      </c>
      <c r="CR9" t="inlineStr">
        <is>
          <t>Allow</t>
        </is>
      </c>
      <c r="CS9" t="b">
        <v>0</v>
      </c>
      <c r="CT9" t="inlineStr">
        <is>
          <t>No</t>
        </is>
      </c>
      <c r="CU9" t="b">
        <v>0</v>
      </c>
      <c r="CV9" t="inlineStr">
        <is>
          <t>Allow</t>
        </is>
      </c>
      <c r="CW9" t="b">
        <v>0</v>
      </c>
      <c r="CX9" t="inlineStr">
        <is>
          <t>Allow</t>
        </is>
      </c>
      <c r="CY9" t="b">
        <v>0</v>
      </c>
      <c r="CZ9" t="inlineStr">
        <is>
          <t>Allow</t>
        </is>
      </c>
      <c r="DA9" t="b">
        <v>0</v>
      </c>
      <c r="DB9" t="inlineStr">
        <is>
          <t>Allow</t>
        </is>
      </c>
      <c r="DC9" t="b">
        <v>0</v>
      </c>
      <c r="DD9" t="inlineStr">
        <is>
          <t>Send</t>
        </is>
      </c>
      <c r="DF9" t="inlineStr">
        <is>
          <t>thames@health2000.co.nz</t>
        </is>
      </c>
      <c r="DO9">
        <v>1.1000000000</v>
      </c>
      <c r="DQ9" t="b">
        <v>1</v>
      </c>
      <c r="DR9" t="inlineStr">
        <is>
          <t>Allow</t>
        </is>
      </c>
      <c r="EA9" t="b">
        <v>0</v>
      </c>
      <c r="EB9" t="inlineStr">
        <is>
          <t>No</t>
        </is>
      </c>
      <c r="EC9" t="inlineStr" s="6">
        <f>HYPERLINK("https://metagenicsd365.crm6.dynamics.com/main.aspx?etn=account&amp;pagetype=entityrecord&amp;id=9a038dcc-7427-ef11-840b-002248152fc6","9a038dcc-7427-ef11-840b-002248152fc6")</f>
        <v>9a038dcc-7427-ef11-840b-002248152fc6</v>
      </c>
      <c r="ED9" t="inlineStr">
        <is>
          <t>HEALTH 2000 THAMES PRACTITIONER ACCOUNT</t>
        </is>
      </c>
      <c r="EE9" t="b">
        <v>1</v>
      </c>
      <c r="EF9" t="inlineStr">
        <is>
          <t>Yes</t>
        </is>
      </c>
      <c r="EG9" t="inlineStr">
        <is>
          <t>Invoice</t>
        </is>
      </c>
      <c r="EJ9" t="inlineStr">
        <is>
          <t>951850001</t>
        </is>
      </c>
      <c r="EK9" t="inlineStr">
        <is>
          <t>Practitioner</t>
        </is>
      </c>
      <c r="EM9" s="1">
        <v>45948</v>
      </c>
      <c r="EO9" t="b">
        <v>0</v>
      </c>
      <c r="EP9" t="inlineStr">
        <is>
          <t>No</t>
        </is>
      </c>
      <c r="ER9" t="inlineStr">
        <is>
          <t>https://metagenicscorpaus.sharepoint.com/:f:/s/TMsRETAIL/EqXjjFndJNNBgztB_4Jk8REBXaBlzxOPYPaRsm4JQcI9uQ?e=A7GSen</t>
        </is>
      </c>
      <c r="ES9" t="inlineStr" s="6">
        <f>HYPERLINK("https://metagenicsd365.crm6.dynamics.com/main.aspx?etn=account&amp;pagetype=entityrecord&amp;id=9a038dcc-7427-ef11-840b-002248152fc6","9a038dcc-7427-ef11-840b-002248152fc6")</f>
        <v>9a038dcc-7427-ef11-840b-002248152fc6</v>
      </c>
      <c r="ET9" t="inlineStr">
        <is>
          <t>HEALTH 2000 THAMES PRACTITIONER ACCOUNT</t>
        </is>
      </c>
      <c r="EU9" t="inlineStr" s="6">
        <f>HYPERLINK("https://metagenicsd365.crm6.dynamics.com/main.aspx?etn=meta_country&amp;pagetype=entityrecord&amp;id=b5015a9c-41a7-e911-a86f-000d3ae10f1f","b5015a9c-41a7-e911-a86f-000d3ae10f1f")</f>
        <v>b5015a9c-41a7-e911-a86f-000d3ae10f1f</v>
      </c>
      <c r="EV9" t="inlineStr">
        <is>
          <t>New Zealand</t>
        </is>
      </c>
      <c r="EW9">
        <v>951850003</v>
      </c>
      <c r="EX9" t="inlineStr">
        <is>
          <t>PRA01</t>
        </is>
      </c>
      <c r="EY9" t="inlineStr" s="6">
        <f>HYPERLINK("https://metagenicsd365.crm6.dynamics.com/main.aspx?etn=meta_postcode&amp;pagetype=entityrecord&amp;id=44ef3e50-b2a7-e911-a875-000d3ae104e7","44ef3e50-b2a7-e911-a875-000d3ae104e7")</f>
        <v>44ef3e50-b2a7-e911-a875-000d3ae104e7</v>
      </c>
      <c r="EZ9" t="inlineStr">
        <is>
          <t>3500</t>
        </is>
      </c>
      <c r="FA9" t="inlineStr" s="6">
        <f>HYPERLINK("https://metagenicsd365.crm6.dynamics.com/main.aspx?etn=meta_suburb&amp;pagetype=entityrecord&amp;id=bff3d500-b7a7-e911-a873-000d3ae10cf1","bff3d500-b7a7-e911-a873-000d3ae10cf1")</f>
        <v>bff3d500-b7a7-e911-a873-000d3ae10cf1</v>
      </c>
      <c r="FB9" t="inlineStr">
        <is>
          <t>THAMES</t>
        </is>
      </c>
      <c r="FC9" t="inlineStr" s="6">
        <f>HYPERLINK("https://metagenicsd365.crm6.dynamics.com/main.aspx?etn=businessunit&amp;pagetype=entityrecord&amp;id=185d6825-ff84-e811-a95f-000d3ae058f0","185d6825-ff84-e811-a95f-000d3ae058f0")</f>
        <v>185d6825-ff84-e811-a95f-000d3ae058f0</v>
      </c>
      <c r="FD9" t="inlineStr">
        <is>
          <t>New Zealand</t>
        </is>
      </c>
      <c r="FE9" t="inlineStr">
        <is>
          <t>0000000NZ19182</t>
        </is>
      </c>
      <c r="FJ9" t="inlineStr">
        <is>
          <t>Fuzzy Match Logic</t>
        </is>
      </c>
      <c r="FM9" t="inlineStr" s="6">
        <f>HYPERLINK("https://metagenicsd365.crm6.dynamics.com/main.aspx?etn=meta_country&amp;pagetype=entityrecord&amp;id=b5015a9c-41a7-e911-a86f-000d3ae10f1f","b5015a9c-41a7-e911-a86f-000d3ae10f1f")</f>
        <v>b5015a9c-41a7-e911-a86f-000d3ae10f1f</v>
      </c>
      <c r="FN9" t="inlineStr">
        <is>
          <t>New Zealand</t>
        </is>
      </c>
      <c r="FO9" t="b">
        <v>1</v>
      </c>
      <c r="FP9" t="inlineStr">
        <is>
          <t>Yes</t>
        </is>
      </c>
      <c r="FQ9" t="inlineStr">
        <is>
          <t>PRACS</t>
        </is>
      </c>
      <c r="FW9" t="b">
        <v>0</v>
      </c>
      <c r="FX9" t="inlineStr">
        <is>
          <t>No</t>
        </is>
      </c>
      <c r="GA9" t="inlineStr">
        <is>
          <t>ABL10597863</t>
        </is>
      </c>
      <c r="GB9" t="inlineStr" s="6">
        <f>HYPERLINK("https://metagenicsd365.crm6.dynamics.com/main.aspx?etn=meta_group&amp;pagetype=entityrecord&amp;id=ddca82f8-b1a7-e911-a886-000d3ae106b8","ddca82f8-b1a7-e911-a886-000d3ae106b8")</f>
        <v>ddca82f8-b1a7-e911-a886-000d3ae106b8</v>
      </c>
      <c r="GC9" t="inlineStr">
        <is>
          <t>Health 2000</t>
        </is>
      </c>
      <c r="GD9">
        <v>951850000</v>
      </c>
      <c r="GE9" t="inlineStr">
        <is>
          <t>Pending</t>
        </is>
      </c>
      <c r="GF9">
        <v>0.0000</v>
      </c>
      <c r="GG9">
        <v>0.0000</v>
      </c>
      <c r="GH9" s="3">
        <v>46122.659502314818</v>
      </c>
      <c r="GI9">
        <v>1</v>
      </c>
      <c r="GO9" s="3">
        <v>46122.659502314818</v>
      </c>
      <c r="GR9" s="3">
        <v>46122.659502314818</v>
      </c>
      <c r="GU9" s="3">
        <v>46122.659502314818</v>
      </c>
      <c r="GY9" t="inlineStr">
        <is>
          <t>NZ19182</t>
        </is>
      </c>
      <c r="GZ9" t="inlineStr">
        <is>
          <t>ABL10597863</t>
        </is>
      </c>
      <c r="HB9" t="inlineStr">
        <is>
          <t>HEALTH 2000 THAMES PRACTITIONER</t>
        </is>
      </c>
      <c r="HD9" t="inlineStr" s="6">
        <f>HYPERLINK("https://metagenicsd365.crm6.dynamics.com/main.aspx?etn=account&amp;pagetype=entityrecord&amp;id=9a038dcc-7427-ef11-840b-002248152fc6","9a038dcc-7427-ef11-840b-002248152fc6")</f>
        <v>9a038dcc-7427-ef11-840b-002248152fc6</v>
      </c>
      <c r="HE9" t="inlineStr">
        <is>
          <t>HEALTH 2000 THAMES PRACTITIONER ACCOUNT</t>
        </is>
      </c>
      <c r="HF9" t="inlineStr">
        <is>
          <t>ABL9605800</t>
        </is>
      </c>
      <c r="HI9">
        <v>0.0000</v>
      </c>
      <c r="HJ9">
        <v>0.0000</v>
      </c>
      <c r="HK9" s="3">
        <v>46122.659502314818</v>
      </c>
      <c r="HL9">
        <v>1</v>
      </c>
      <c r="HM9">
        <v>0.0000</v>
      </c>
      <c r="HN9">
        <v>0.0000</v>
      </c>
      <c r="HO9" s="3">
        <v>46122.659502314818</v>
      </c>
      <c r="HP9">
        <v>1</v>
      </c>
      <c r="HX9" t="inlineStr" s="6">
        <f>HYPERLINK("https://metagenicsd365.crm6.dynamics.com/main.aspx?etn=meta_paymentterm&amp;pagetype=entityrecord&amp;id=884d37f0-37ba-eb11-8236-00224817f624","884d37f0-37ba-eb11-8236-00224817f624")</f>
        <v>884d37f0-37ba-eb11-8236-00224817f624</v>
      </c>
      <c r="HY9" t="inlineStr">
        <is>
          <t>Net 20 Days End of Month</t>
        </is>
      </c>
      <c r="ID9" t="inlineStr">
        <is>
          <t>531 POLLEN STREET</t>
        </is>
      </c>
      <c r="IE9" t="inlineStr" s="6">
        <f>HYPERLINK("https://metagenicsd365.crm6.dynamics.com/main.aspx?etn=meta_country&amp;pagetype=entityrecord&amp;id=b5015a9c-41a7-e911-a86f-000d3ae10f1f","b5015a9c-41a7-e911-a86f-000d3ae10f1f")</f>
        <v>b5015a9c-41a7-e911-a86f-000d3ae10f1f</v>
      </c>
      <c r="IF9" t="inlineStr">
        <is>
          <t>New Zealand</t>
        </is>
      </c>
      <c r="IG9" t="inlineStr" s="6">
        <f>HYPERLINK("https://metagenicsd365.crm6.dynamics.com/main.aspx?etn=meta_postcode&amp;pagetype=entityrecord&amp;id=44ef3e50-b2a7-e911-a875-000d3ae104e7","44ef3e50-b2a7-e911-a875-000d3ae104e7")</f>
        <v>44ef3e50-b2a7-e911-a875-000d3ae104e7</v>
      </c>
      <c r="IH9" t="inlineStr">
        <is>
          <t>3500</t>
        </is>
      </c>
      <c r="II9" t="inlineStr" s="6">
        <f>HYPERLINK("https://metagenicsd365.crm6.dynamics.com/main.aspx?etn=meta_suburb&amp;pagetype=entityrecord&amp;id=bff3d500-b7a7-e911-a873-000d3ae10cf1","bff3d500-b7a7-e911-a873-000d3ae10cf1")</f>
        <v>bff3d500-b7a7-e911-a873-000d3ae10cf1</v>
      </c>
      <c r="IJ9" t="inlineStr">
        <is>
          <t>THAMES</t>
        </is>
      </c>
      <c r="IK9" t="inlineStr" s="6">
        <f>HYPERLINK("https://metagenicsd365.crm6.dynamics.com/main.aspx?etn=meta_postcode&amp;pagetype=entityrecord&amp;id=44ef3e50-b2a7-e911-a875-000d3ae104e7","44ef3e50-b2a7-e911-a875-000d3ae104e7")</f>
        <v>44ef3e50-b2a7-e911-a875-000d3ae104e7</v>
      </c>
      <c r="IL9" t="inlineStr">
        <is>
          <t>3500</t>
        </is>
      </c>
      <c r="IZ9">
        <v>951850001</v>
      </c>
      <c r="JA9" t="inlineStr">
        <is>
          <t>Location</t>
        </is>
      </c>
      <c r="JE9" t="b">
        <v>0</v>
      </c>
      <c r="JF9" t="inlineStr">
        <is>
          <t>No</t>
        </is>
      </c>
      <c r="JT9">
        <v>803920000</v>
      </c>
      <c r="JU9" t="inlineStr">
        <is>
          <t>CP</t>
        </is>
      </c>
      <c r="JY9" t="inlineStr" s="6">
        <f>HYPERLINK("https://metagenicsd365.crm6.dynamics.com/main.aspx?etn=meta_suburb&amp;pagetype=entityrecord&amp;id=bff3d500-b7a7-e911-a873-000d3ae10cf1","bff3d500-b7a7-e911-a873-000d3ae10cf1")</f>
        <v>bff3d500-b7a7-e911-a873-000d3ae10cf1</v>
      </c>
      <c r="JZ9" t="inlineStr">
        <is>
          <t>THAMES</t>
        </is>
      </c>
      <c r="KA9" t="inlineStr">
        <is>
          <t>Yes</t>
        </is>
      </c>
      <c r="KB9">
        <v>0.0000</v>
      </c>
      <c r="KC9">
        <v>0.0000</v>
      </c>
      <c r="KD9" s="3">
        <v>46122.659502314818</v>
      </c>
      <c r="KE9">
        <v>1</v>
      </c>
      <c r="KF9">
        <v>0.0000</v>
      </c>
      <c r="KG9">
        <v>0.0000</v>
      </c>
      <c r="KH9" s="3">
        <v>46122.659502314818</v>
      </c>
      <c r="KI9">
        <v>1</v>
      </c>
      <c r="KJ9">
        <v>0.0000</v>
      </c>
      <c r="KK9">
        <v>0.0000</v>
      </c>
      <c r="KL9" s="3">
        <v>46122.659502314818</v>
      </c>
      <c r="KM9">
        <v>1</v>
      </c>
      <c r="KN9" t="b">
        <v>0</v>
      </c>
      <c r="KO9" t="inlineStr">
        <is>
          <t>No</t>
        </is>
      </c>
      <c r="KP9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9" t="inlineStr">
        <is>
          <t>Sriganesh Subramanian</t>
        </is>
      </c>
      <c r="KT9" s="3">
        <v>46110.925798611112</v>
      </c>
      <c r="LA9" t="b">
        <v>0</v>
      </c>
      <c r="LB9" t="inlineStr">
        <is>
          <t>No</t>
        </is>
      </c>
      <c r="LH9" t="inlineStr">
        <is>
          <t>HEALTH 2000 THAMES PRACTITIONER</t>
        </is>
      </c>
      <c r="LO9">
        <v>0</v>
      </c>
      <c r="LP9" s="3">
        <v>46122.659502314818</v>
      </c>
      <c r="LQ9">
        <v>1</v>
      </c>
      <c r="LR9">
        <v>0.0000</v>
      </c>
      <c r="LS9">
        <v>0.0000</v>
      </c>
      <c r="LT9" s="3">
        <v>46122.659502314818</v>
      </c>
      <c r="LU9">
        <v>1</v>
      </c>
      <c r="LY9" t="inlineStr" s="6">
        <f>HYPERLINK("https://metagenicsd365.crm6.dynamics.com/main.aspx?etn=team&amp;pagetype=entityrecord&amp;id=195d6825-ff84-e811-a95f-000d3ae058f0","195d6825-ff84-e811-a95f-000d3ae058f0")</f>
        <v>195d6825-ff84-e811-a95f-000d3ae058f0</v>
      </c>
      <c r="LZ9" t="inlineStr">
        <is>
          <t>New Zealand</t>
        </is>
      </c>
      <c r="MA9" t="inlineStr">
        <is>
          <t>team</t>
        </is>
      </c>
      <c r="MD9" t="inlineStr" s="6">
        <f>HYPERLINK("https://metagenicsd365.crm6.dynamics.com/main.aspx?etn=businessunit&amp;pagetype=entityrecord&amp;id=185d6825-ff84-e811-a95f-000d3ae058f0","185d6825-ff84-e811-a95f-000d3ae058f0")</f>
        <v>185d6825-ff84-e811-a95f-000d3ae058f0</v>
      </c>
      <c r="ME9" t="inlineStr">
        <is>
          <t>New Zealand</t>
        </is>
      </c>
      <c r="MF9" t="inlineStr" s="6">
        <f>HYPERLINK("https://metagenicsd365.crm6.dynamics.com/main.aspx?etn=team&amp;pagetype=entityrecord&amp;id=195d6825-ff84-e811-a95f-000d3ae058f0","195d6825-ff84-e811-a95f-000d3ae058f0")</f>
        <v>195d6825-ff84-e811-a95f-000d3ae058f0</v>
      </c>
      <c r="MJ9" t="inlineStr" s="6">
        <f>HYPERLINK("https://metagenicsd365.crm6.dynamics.com/main.aspx?etn=account&amp;pagetype=entityrecord&amp;id=9a038dcc-7427-ef11-840b-002248152fc6","9a038dcc-7427-ef11-840b-002248152fc6")</f>
        <v>9a038dcc-7427-ef11-840b-002248152fc6</v>
      </c>
      <c r="MK9" t="inlineStr">
        <is>
          <t>HEALTH 2000 THAMES PRACTITIONER ACCOUNT</t>
        </is>
      </c>
      <c r="ML9" t="b">
        <v>0</v>
      </c>
      <c r="MM9" t="inlineStr">
        <is>
          <t>No</t>
        </is>
      </c>
      <c r="MT9">
        <v>1</v>
      </c>
      <c r="MU9" t="inlineStr">
        <is>
          <t>Any</t>
        </is>
      </c>
      <c r="NJ9">
        <v>1</v>
      </c>
      <c r="NK9" t="inlineStr">
        <is>
          <t>Airborne</t>
        </is>
      </c>
      <c r="NR9">
        <v>1</v>
      </c>
      <c r="NS9" t="inlineStr">
        <is>
          <t>Inactive</t>
        </is>
      </c>
      <c r="NT9">
        <v>2</v>
      </c>
      <c r="NU9" t="inlineStr">
        <is>
          <t>Inactive</t>
        </is>
      </c>
      <c r="NY9" t="inlineStr">
        <is>
          <t>07 868 6812</t>
        </is>
      </c>
      <c r="OA9">
        <v>1</v>
      </c>
      <c r="OB9" t="inlineStr">
        <is>
          <t>Default Value</t>
        </is>
      </c>
      <c r="OG9">
        <v>0</v>
      </c>
      <c r="OH9" t="inlineStr" s="6">
        <f>HYPERLINK("https://metagenicsd365.crm6.dynamics.com/main.aspx?etn=transactioncurrency&amp;pagetype=entityrecord&amp;id=75fa7107-58cb-e811-a965-000d3ae0575b","75fa7107-58cb-e811-a965-000d3ae0575b")</f>
        <v>75fa7107-58cb-e811-a965-000d3ae0575b</v>
      </c>
      <c r="OI9" t="inlineStr">
        <is>
          <t>New Zealand Dollar</t>
        </is>
      </c>
      <c r="OL9" t="inlineStr">
        <is>
          <t>0x000000003E61B72D</t>
        </is>
      </c>
    </row>
    <row r="10">
      <c r="C10">
        <v>1</v>
      </c>
      <c r="D10" t="inlineStr">
        <is>
          <t>Default Value</t>
        </is>
      </c>
      <c r="E10" t="inlineStr" s="6">
        <f>HYPERLINK("https://metagenicsd365.crm6.dynamics.com/main.aspx?etn=account&amp;pagetype=entityrecord&amp;id=cbac8241-cd85-ef11-ac21-000d3a792cf6","cbac8241-cd85-ef11-ac21-000d3a792cf6")</f>
        <v>cbac8241-cd85-ef11-ac21-000d3a792cf6</v>
      </c>
      <c r="F10" t="inlineStr">
        <is>
          <t>000000602770</t>
        </is>
      </c>
      <c r="G10">
        <v>1</v>
      </c>
      <c r="H10" t="inlineStr">
        <is>
          <t>Default Value</t>
        </is>
      </c>
      <c r="I10" t="inlineStr" s="6">
        <f>HYPERLINK("https://metagenicsd365.crm6.dynamics.com/main.aspx?etn=account&amp;pagetype=entityrecord&amp;id=db50b076-b33e-4d77-97ef-3583f843da8c","db50b076-b33e-4d77-97ef-3583f843da8c")</f>
        <v>db50b076-b33e-4d77-97ef-3583f843da8c</v>
      </c>
      <c r="M10" t="inlineStr">
        <is>
          <t>19 GOVERMENT ROAD
NSW</t>
        </is>
      </c>
      <c r="T10" t="inlineStr">
        <is>
          <t>19 GOVERMENT ROAD</t>
        </is>
      </c>
      <c r="AD10" t="inlineStr">
        <is>
          <t>NSW</t>
        </is>
      </c>
      <c r="AJ10" t="inlineStr" s="6">
        <f>HYPERLINK("https://metagenicsd365.crm6.dynamics.com/main.aspx?etn=account&amp;pagetype=entityrecord&amp;id=6c868aeb-c23f-4a01-932d-a71ec2af02ef","6c868aeb-c23f-4a01-932d-a71ec2af02ef")</f>
        <v>6c868aeb-c23f-4a01-932d-a71ec2af02ef</v>
      </c>
      <c r="AK10">
        <v>1</v>
      </c>
      <c r="AL10" t="inlineStr">
        <is>
          <t>Default Value</t>
        </is>
      </c>
      <c r="AN10" t="inlineStr">
        <is>
          <t>**USE TERRITORY DELIVERY
QLD</t>
        </is>
      </c>
      <c r="AR10">
        <v>1</v>
      </c>
      <c r="AS10" t="inlineStr">
        <is>
          <t>Default Value</t>
        </is>
      </c>
      <c r="AU10" t="inlineStr">
        <is>
          <t>**USE TERRITORY DELIVERY</t>
        </is>
      </c>
      <c r="BC10">
        <v>1</v>
      </c>
      <c r="BD10" t="inlineStr">
        <is>
          <t>Default Value</t>
        </is>
      </c>
      <c r="BE10" t="inlineStr">
        <is>
          <t>QLD</t>
        </is>
      </c>
      <c r="BU10">
        <v>1</v>
      </c>
      <c r="BV10" t="inlineStr">
        <is>
          <t>Default Value</t>
        </is>
      </c>
      <c r="BY10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10" t="inlineStr">
        <is>
          <t>SVC_D365_CE #</t>
        </is>
      </c>
      <c r="CC10" s="3">
        <v>45573.979351851849</v>
      </c>
      <c r="CF10">
        <v>0.0000</v>
      </c>
      <c r="CG10">
        <v>0.0000</v>
      </c>
      <c r="CH10" t="b">
        <v>0</v>
      </c>
      <c r="CI10" t="inlineStr">
        <is>
          <t>No</t>
        </is>
      </c>
      <c r="CJ10">
        <v>1</v>
      </c>
      <c r="CK10" t="inlineStr">
        <is>
          <t>Default Value</t>
        </is>
      </c>
      <c r="CQ10" t="b">
        <v>0</v>
      </c>
      <c r="CR10" t="inlineStr">
        <is>
          <t>Allow</t>
        </is>
      </c>
      <c r="CS10" t="b">
        <v>0</v>
      </c>
      <c r="CT10" t="inlineStr">
        <is>
          <t>No</t>
        </is>
      </c>
      <c r="CU10" t="b">
        <v>0</v>
      </c>
      <c r="CV10" t="inlineStr">
        <is>
          <t>Allow</t>
        </is>
      </c>
      <c r="CW10" t="b">
        <v>0</v>
      </c>
      <c r="CX10" t="inlineStr">
        <is>
          <t>Allow</t>
        </is>
      </c>
      <c r="CY10" t="b">
        <v>0</v>
      </c>
      <c r="CZ10" t="inlineStr">
        <is>
          <t>Allow</t>
        </is>
      </c>
      <c r="DA10" t="b">
        <v>0</v>
      </c>
      <c r="DB10" t="inlineStr">
        <is>
          <t>Allow</t>
        </is>
      </c>
      <c r="DC10" t="b">
        <v>0</v>
      </c>
      <c r="DD10" t="inlineStr">
        <is>
          <t>Send</t>
        </is>
      </c>
      <c r="DF10" t="inlineStr">
        <is>
          <t>cmason@metagenics.com.au</t>
        </is>
      </c>
      <c r="DO10">
        <v>1.0000000000</v>
      </c>
      <c r="DQ10" t="b">
        <v>1</v>
      </c>
      <c r="DR10" t="inlineStr">
        <is>
          <t>Allow</t>
        </is>
      </c>
      <c r="EA10" t="b">
        <v>0</v>
      </c>
      <c r="EB10" t="inlineStr">
        <is>
          <t>No</t>
        </is>
      </c>
      <c r="EE10" t="b">
        <v>0</v>
      </c>
      <c r="EF10" t="inlineStr">
        <is>
          <t>No</t>
        </is>
      </c>
      <c r="EH10" t="inlineStr">
        <is>
          <t>100000004</t>
        </is>
      </c>
      <c r="EI10" t="inlineStr">
        <is>
          <t>Samples</t>
        </is>
      </c>
      <c r="EO10" t="b">
        <v>0</v>
      </c>
      <c r="EP10" t="inlineStr">
        <is>
          <t>No</t>
        </is>
      </c>
      <c r="ES10" t="inlineStr" s="6">
        <f>HYPERLINK("https://metagenicsd365.crm6.dynamics.com/main.aspx?etn=account&amp;pagetype=entityrecord&amp;id=df73adad-9ba7-e911-a862-000d3ae10c61","df73adad-9ba7-e911-a862-000d3ae10c61")</f>
        <v>df73adad-9ba7-e911-a862-000d3ae10c61</v>
      </c>
      <c r="ET10" t="inlineStr">
        <is>
          <t>SAMPLES TERRITORY 2R02 ELIZABETH ATKINSON</t>
        </is>
      </c>
      <c r="EU10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10" t="inlineStr">
        <is>
          <t>Australia</t>
        </is>
      </c>
      <c r="EW10">
        <v>951850015</v>
      </c>
      <c r="EX10" t="inlineStr">
        <is>
          <t>SMP</t>
        </is>
      </c>
      <c r="EY10" t="inlineStr" s="6">
        <f>HYPERLINK("https://metagenicsd365.crm6.dynamics.com/main.aspx?etn=meta_postcode&amp;pagetype=entityrecord&amp;id=28b29a92-b2a7-e911-a873-000d3ae10139","28b29a92-b2a7-e911-a873-000d3ae10139")</f>
        <v>28b29a92-b2a7-e911-a873-000d3ae10139</v>
      </c>
      <c r="EZ10" t="inlineStr">
        <is>
          <t>4013</t>
        </is>
      </c>
      <c r="FA10" t="inlineStr" s="6">
        <f>HYPERLINK("https://metagenicsd365.crm6.dynamics.com/main.aspx?etn=meta_suburb&amp;pagetype=entityrecord&amp;id=6cb029dd-b3a7-e911-a875-000d3ae104e7","6cb029dd-b3a7-e911-a875-000d3ae104e7")</f>
        <v>6cb029dd-b3a7-e911-a875-000d3ae104e7</v>
      </c>
      <c r="FB10" t="inlineStr">
        <is>
          <t>NORTHGATE</t>
        </is>
      </c>
      <c r="FC10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10" t="inlineStr">
        <is>
          <t>Australia</t>
        </is>
      </c>
      <c r="FE10" t="inlineStr">
        <is>
          <t>0000000000000602770</t>
        </is>
      </c>
      <c r="FJ10" t="inlineStr">
        <is>
          <t>Legacy Accounts - Non B2B</t>
        </is>
      </c>
      <c r="FM10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10" t="inlineStr">
        <is>
          <t>Australia</t>
        </is>
      </c>
      <c r="FO10" t="b">
        <v>1</v>
      </c>
      <c r="FP10" t="inlineStr">
        <is>
          <t>Yes</t>
        </is>
      </c>
      <c r="FQ10" t="inlineStr">
        <is>
          <t>PROS</t>
        </is>
      </c>
      <c r="FW10" t="b">
        <v>0</v>
      </c>
      <c r="FX10" t="inlineStr">
        <is>
          <t>No</t>
        </is>
      </c>
      <c r="GA10" t="inlineStr">
        <is>
          <t>ABL10857179</t>
        </is>
      </c>
      <c r="GD10">
        <v>951850000</v>
      </c>
      <c r="GE10" t="inlineStr">
        <is>
          <t>Pending</t>
        </is>
      </c>
      <c r="GF10">
        <v>0.0000</v>
      </c>
      <c r="GG10">
        <v>0.0000</v>
      </c>
      <c r="GH10" s="3">
        <v>46122.659502314818</v>
      </c>
      <c r="GI10">
        <v>1</v>
      </c>
      <c r="GO10" s="3">
        <v>46122.659502314818</v>
      </c>
      <c r="GR10" s="3">
        <v>46122.659502314818</v>
      </c>
      <c r="GU10" s="3">
        <v>46122.659502314818</v>
      </c>
      <c r="GY10" t="inlineStr">
        <is>
          <t>000000602770</t>
        </is>
      </c>
      <c r="GZ10" t="inlineStr">
        <is>
          <t>ABL10857179</t>
        </is>
      </c>
      <c r="HB10" t="inlineStr">
        <is>
          <t>CATHY MASON</t>
        </is>
      </c>
      <c r="HI10">
        <v>0.0000</v>
      </c>
      <c r="HJ10">
        <v>0.0000</v>
      </c>
      <c r="HK10" s="3">
        <v>46122.659502314818</v>
      </c>
      <c r="HL10">
        <v>1</v>
      </c>
      <c r="HM10">
        <v>0.0000</v>
      </c>
      <c r="HN10">
        <v>0.0000</v>
      </c>
      <c r="HO10" s="3">
        <v>46122.659502314818</v>
      </c>
      <c r="HP10">
        <v>1</v>
      </c>
      <c r="HX10" t="inlineStr" s="6">
        <f>HYPERLINK("https://metagenicsd365.crm6.dynamics.com/main.aspx?etn=meta_paymentterm&amp;pagetype=entityrecord&amp;id=0768c959-38ba-eb11-8236-00224817f624","0768c959-38ba-eb11-8236-00224817f624")</f>
        <v>0768c959-38ba-eb11-8236-00224817f624</v>
      </c>
      <c r="HY10" t="inlineStr">
        <is>
          <t>Net 30 Days End of Month</t>
        </is>
      </c>
      <c r="IC10" t="inlineStr">
        <is>
          <t>NSW</t>
        </is>
      </c>
      <c r="ID10" t="inlineStr">
        <is>
          <t>19 GOVERMENT ROAD</t>
        </is>
      </c>
      <c r="IE10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10" t="inlineStr">
        <is>
          <t>Australia</t>
        </is>
      </c>
      <c r="IG10" t="inlineStr" s="6">
        <f>HYPERLINK("https://metagenicsd365.crm6.dynamics.com/main.aspx?etn=meta_postcode&amp;pagetype=entityrecord&amp;id=e3a61646-b2a7-e911-a873-000d3ae10cf1","e3a61646-b2a7-e911-a873-000d3ae10cf1")</f>
        <v>e3a61646-b2a7-e911-a873-000d3ae10cf1</v>
      </c>
      <c r="IH10" t="inlineStr">
        <is>
          <t>2286</t>
        </is>
      </c>
      <c r="II10" t="inlineStr" s="6">
        <f>HYPERLINK("https://metagenicsd365.crm6.dynamics.com/main.aspx?etn=meta_suburb&amp;pagetype=entityrecord&amp;id=0249c088-b5a7-e911-a873-000d3ae10139","0249c088-b5a7-e911-a873-000d3ae10139")</f>
        <v>0249c088-b5a7-e911-a873-000d3ae10139</v>
      </c>
      <c r="IJ10" t="inlineStr">
        <is>
          <t>HOLMESVILLE</t>
        </is>
      </c>
      <c r="IK10" t="inlineStr" s="6">
        <f>HYPERLINK("https://metagenicsd365.crm6.dynamics.com/main.aspx?etn=meta_postcode&amp;pagetype=entityrecord&amp;id=e3a61646-b2a7-e911-a873-000d3ae10cf1","e3a61646-b2a7-e911-a873-000d3ae10cf1")</f>
        <v>e3a61646-b2a7-e911-a873-000d3ae10cf1</v>
      </c>
      <c r="IL10" t="inlineStr">
        <is>
          <t>2286</t>
        </is>
      </c>
      <c r="IZ10">
        <v>951850001</v>
      </c>
      <c r="JA10" t="inlineStr">
        <is>
          <t>Location</t>
        </is>
      </c>
      <c r="JE10" t="b">
        <v>0</v>
      </c>
      <c r="JF10" t="inlineStr">
        <is>
          <t>No</t>
        </is>
      </c>
      <c r="JY10" t="inlineStr" s="6">
        <f>HYPERLINK("https://metagenicsd365.crm6.dynamics.com/main.aspx?etn=meta_suburb&amp;pagetype=entityrecord&amp;id=0249c088-b5a7-e911-a873-000d3ae10139","0249c088-b5a7-e911-a873-000d3ae10139")</f>
        <v>0249c088-b5a7-e911-a873-000d3ae10139</v>
      </c>
      <c r="JZ10" t="inlineStr">
        <is>
          <t>HOLMESVILLE</t>
        </is>
      </c>
      <c r="KA10" t="inlineStr">
        <is>
          <t>Yes</t>
        </is>
      </c>
      <c r="KB10">
        <v>0.0000</v>
      </c>
      <c r="KC10">
        <v>0.0000</v>
      </c>
      <c r="KD10" s="3">
        <v>46122.659502314818</v>
      </c>
      <c r="KE10">
        <v>1</v>
      </c>
      <c r="KF10">
        <v>0.0000</v>
      </c>
      <c r="KG10">
        <v>0.0000</v>
      </c>
      <c r="KH10" s="3">
        <v>46122.659502314818</v>
      </c>
      <c r="KI10">
        <v>1</v>
      </c>
      <c r="KJ10">
        <v>0.0000</v>
      </c>
      <c r="KK10">
        <v>0.0000</v>
      </c>
      <c r="KL10" s="3">
        <v>46122.659502314818</v>
      </c>
      <c r="KM10">
        <v>1</v>
      </c>
      <c r="KN10" t="b">
        <v>0</v>
      </c>
      <c r="KO10" t="inlineStr">
        <is>
          <t>No</t>
        </is>
      </c>
      <c r="KP10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10" t="inlineStr">
        <is>
          <t>Sriganesh Subramanian</t>
        </is>
      </c>
      <c r="KT10" s="3">
        <v>45966.9149537037</v>
      </c>
      <c r="LA10" t="b">
        <v>0</v>
      </c>
      <c r="LB10" t="inlineStr">
        <is>
          <t>No</t>
        </is>
      </c>
      <c r="LH10" t="inlineStr">
        <is>
          <t>CATHY MASON</t>
        </is>
      </c>
      <c r="LO10">
        <v>0</v>
      </c>
      <c r="LP10" s="3">
        <v>46122.659502314818</v>
      </c>
      <c r="LQ10">
        <v>1</v>
      </c>
      <c r="LR10">
        <v>0.0000</v>
      </c>
      <c r="LS10">
        <v>0.0000</v>
      </c>
      <c r="LT10" s="3">
        <v>46122.659502314818</v>
      </c>
      <c r="LU10">
        <v>1</v>
      </c>
      <c r="LY10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10" t="inlineStr">
        <is>
          <t>Australia</t>
        </is>
      </c>
      <c r="MA10" t="inlineStr">
        <is>
          <t>team</t>
        </is>
      </c>
      <c r="MD10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10" t="inlineStr">
        <is>
          <t>Australia</t>
        </is>
      </c>
      <c r="MF10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J10" t="inlineStr" s="6">
        <f>HYPERLINK("https://metagenicsd365.crm6.dynamics.com/main.aspx?etn=account&amp;pagetype=entityrecord&amp;id=df73adad-9ba7-e911-a862-000d3ae10c61","df73adad-9ba7-e911-a862-000d3ae10c61")</f>
        <v>df73adad-9ba7-e911-a862-000d3ae10c61</v>
      </c>
      <c r="MK10" t="inlineStr">
        <is>
          <t>SAMPLES TERRITORY 2R02 ELIZABETH ATKINSON</t>
        </is>
      </c>
      <c r="ML10" t="b">
        <v>0</v>
      </c>
      <c r="MM10" t="inlineStr">
        <is>
          <t>No</t>
        </is>
      </c>
      <c r="MT10">
        <v>1</v>
      </c>
      <c r="MU10" t="inlineStr">
        <is>
          <t>Any</t>
        </is>
      </c>
      <c r="NJ10">
        <v>1</v>
      </c>
      <c r="NK10" t="inlineStr">
        <is>
          <t>Airborne</t>
        </is>
      </c>
      <c r="NR10">
        <v>1</v>
      </c>
      <c r="NS10" t="inlineStr">
        <is>
          <t>Inactive</t>
        </is>
      </c>
      <c r="NT10">
        <v>2</v>
      </c>
      <c r="NU10" t="inlineStr">
        <is>
          <t>Inactive</t>
        </is>
      </c>
      <c r="NY10" t="inlineStr">
        <is>
          <t>0421 586 820</t>
        </is>
      </c>
      <c r="OA10">
        <v>1</v>
      </c>
      <c r="OB10" t="inlineStr">
        <is>
          <t>Default Value</t>
        </is>
      </c>
      <c r="OH10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10" t="inlineStr">
        <is>
          <t>Australian Dollar</t>
        </is>
      </c>
      <c r="OL10" t="inlineStr">
        <is>
          <t>0x000000003BD0D1F4</t>
        </is>
      </c>
    </row>
    <row r="11">
      <c r="C11">
        <v>1</v>
      </c>
      <c r="D11" t="inlineStr">
        <is>
          <t>Default Value</t>
        </is>
      </c>
      <c r="E11" t="inlineStr" s="6">
        <f>HYPERLINK("https://metagenicsd365.crm6.dynamics.com/main.aspx?etn=account&amp;pagetype=entityrecord&amp;id=ec030fe3-c043-ef11-a316-000d3a793080","ec030fe3-c043-ef11-a316-000d3a793080")</f>
        <v>ec030fe3-c043-ef11-a316-000d3a793080</v>
      </c>
      <c r="F11" t="inlineStr">
        <is>
          <t>000001058879</t>
        </is>
      </c>
      <c r="G11">
        <v>1</v>
      </c>
      <c r="H11" t="inlineStr">
        <is>
          <t>Default Value</t>
        </is>
      </c>
      <c r="I11" t="inlineStr" s="6">
        <f>HYPERLINK("https://metagenicsd365.crm6.dynamics.com/main.aspx?etn=account&amp;pagetype=entityrecord&amp;id=93204847-103f-449f-b86a-ee6043b734a3","93204847-103f-449f-b86a-ee6043b734a3")</f>
        <v>93204847-103f-449f-b86a-ee6043b734a3</v>
      </c>
      <c r="L11" t="inlineStr">
        <is>
          <t>/meta_suburbs(cbe5d719-b7a7-e911-a86f-000d3ae10f1f)</t>
        </is>
      </c>
      <c r="M11" t="inlineStr">
        <is>
          <t>444 PAPANUI ROAD
/meta_suburbs(cbe5d719-b7a7-e911-a86f-000d3ae10f1f)</t>
        </is>
      </c>
      <c r="T11" t="inlineStr">
        <is>
          <t>444 PAPANUI ROAD</t>
        </is>
      </c>
      <c r="AE11" t="inlineStr">
        <is>
          <t>0211 578 966</t>
        </is>
      </c>
      <c r="AJ11" t="inlineStr" s="6">
        <f>HYPERLINK("https://metagenicsd365.crm6.dynamics.com/main.aspx?etn=account&amp;pagetype=entityrecord&amp;id=ca599b03-b2d1-4c0e-a9be-d93323a83b88","ca599b03-b2d1-4c0e-a9be-d93323a83b88")</f>
        <v>ca599b03-b2d1-4c0e-a9be-d93323a83b88</v>
      </c>
      <c r="AK11">
        <v>1</v>
      </c>
      <c r="AL11" t="inlineStr">
        <is>
          <t>Default Value</t>
        </is>
      </c>
      <c r="AM11" t="inlineStr">
        <is>
          <t>/meta_suburbs(cbe5d719-b7a7-e911-a86f-000d3ae10f1f)</t>
        </is>
      </c>
      <c r="AN11" t="inlineStr">
        <is>
          <t>444 PAPANUI ROAD
/meta_suburbs(cbe5d719-b7a7-e911-a86f-000d3ae10f1f)</t>
        </is>
      </c>
      <c r="AR11">
        <v>1</v>
      </c>
      <c r="AS11" t="inlineStr">
        <is>
          <t>Default Value</t>
        </is>
      </c>
      <c r="AU11" t="inlineStr">
        <is>
          <t>444 PAPANUI ROAD</t>
        </is>
      </c>
      <c r="BC11">
        <v>1</v>
      </c>
      <c r="BD11" t="inlineStr">
        <is>
          <t>Default Value</t>
        </is>
      </c>
      <c r="BU11">
        <v>1</v>
      </c>
      <c r="BV11" t="inlineStr">
        <is>
          <t>Default Value</t>
        </is>
      </c>
      <c r="BY11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11" t="inlineStr">
        <is>
          <t>SVC_D365_CE #</t>
        </is>
      </c>
      <c r="CC11" s="3">
        <v>45489.927418981482</v>
      </c>
      <c r="CH11" t="b">
        <v>0</v>
      </c>
      <c r="CI11" t="inlineStr">
        <is>
          <t>No</t>
        </is>
      </c>
      <c r="CJ11">
        <v>1</v>
      </c>
      <c r="CK11" t="inlineStr">
        <is>
          <t>Default Value</t>
        </is>
      </c>
      <c r="CN11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11" t="inlineStr">
        <is>
          <t>All Products Australia</t>
        </is>
      </c>
      <c r="CQ11" t="b">
        <v>0</v>
      </c>
      <c r="CR11" t="inlineStr">
        <is>
          <t>Allow</t>
        </is>
      </c>
      <c r="CS11" t="b">
        <v>0</v>
      </c>
      <c r="CT11" t="inlineStr">
        <is>
          <t>No</t>
        </is>
      </c>
      <c r="CU11" t="b">
        <v>0</v>
      </c>
      <c r="CV11" t="inlineStr">
        <is>
          <t>Allow</t>
        </is>
      </c>
      <c r="CW11" t="b">
        <v>0</v>
      </c>
      <c r="CX11" t="inlineStr">
        <is>
          <t>Allow</t>
        </is>
      </c>
      <c r="CY11" t="b">
        <v>0</v>
      </c>
      <c r="CZ11" t="inlineStr">
        <is>
          <t>Allow</t>
        </is>
      </c>
      <c r="DA11" t="b">
        <v>0</v>
      </c>
      <c r="DB11" t="inlineStr">
        <is>
          <t>Allow</t>
        </is>
      </c>
      <c r="DC11" t="b">
        <v>0</v>
      </c>
      <c r="DD11" t="inlineStr">
        <is>
          <t>Send</t>
        </is>
      </c>
      <c r="DE11" t="inlineStr">
        <is>
          <t>astirenaut@gmail.com</t>
        </is>
      </c>
      <c r="DF11" t="inlineStr">
        <is>
          <t>astirenaut@gmail.com</t>
        </is>
      </c>
      <c r="DO11">
        <v>1.0000000000</v>
      </c>
      <c r="DQ11" t="b">
        <v>1</v>
      </c>
      <c r="DR11" t="inlineStr">
        <is>
          <t>Allow</t>
        </is>
      </c>
      <c r="EA11" t="b">
        <v>0</v>
      </c>
      <c r="EB11" t="inlineStr">
        <is>
          <t>No</t>
        </is>
      </c>
      <c r="EE11" t="b">
        <v>0</v>
      </c>
      <c r="EF11" t="inlineStr">
        <is>
          <t>No</t>
        </is>
      </c>
      <c r="EG11" t="inlineStr">
        <is>
          <t>No</t>
        </is>
      </c>
      <c r="EJ11" t="inlineStr">
        <is>
          <t>951850001</t>
        </is>
      </c>
      <c r="EK11" t="inlineStr">
        <is>
          <t>Practitioner</t>
        </is>
      </c>
      <c r="EL11" s="3">
        <v>45489.923796296294</v>
      </c>
      <c r="EM11" s="3">
        <v>93138.99998842593</v>
      </c>
      <c r="EN11" t="inlineStr">
        <is>
          <t>PRAC</t>
        </is>
      </c>
      <c r="EO11" t="b">
        <v>0</v>
      </c>
      <c r="EP11" t="inlineStr">
        <is>
          <t>No</t>
        </is>
      </c>
      <c r="EQ11" t="inlineStr">
        <is>
          <t>No</t>
        </is>
      </c>
      <c r="EU11" t="inlineStr" s="6">
        <f>HYPERLINK("https://metagenicsd365.crm6.dynamics.com/main.aspx?etn=meta_country&amp;pagetype=entityrecord&amp;id=b5015a9c-41a7-e911-a86f-000d3ae10f1f","b5015a9c-41a7-e911-a86f-000d3ae10f1f")</f>
        <v>b5015a9c-41a7-e911-a86f-000d3ae10f1f</v>
      </c>
      <c r="EV11" t="inlineStr">
        <is>
          <t>New Zealand</t>
        </is>
      </c>
      <c r="EW11">
        <v>951850003</v>
      </c>
      <c r="EX11" t="inlineStr">
        <is>
          <t>PRA01</t>
        </is>
      </c>
      <c r="EY11" t="inlineStr" s="6">
        <f>HYPERLINK("https://metagenicsd365.crm6.dynamics.com/main.aspx?etn=meta_postcode&amp;pagetype=entityrecord&amp;id=5f5208dc-b2a7-e911-a886-000d3ae106b8","5f5208dc-b2a7-e911-a886-000d3ae106b8")</f>
        <v>5f5208dc-b2a7-e911-a886-000d3ae106b8</v>
      </c>
      <c r="EZ11" t="inlineStr">
        <is>
          <t>8053</t>
        </is>
      </c>
      <c r="FA11" t="inlineStr" s="6">
        <f>HYPERLINK("https://metagenicsd365.crm6.dynamics.com/main.aspx?etn=meta_suburb&amp;pagetype=entityrecord&amp;id=cbe5d719-b7a7-e911-a86f-000d3ae10f1f","cbe5d719-b7a7-e911-a86f-000d3ae10f1f")</f>
        <v>cbe5d719-b7a7-e911-a86f-000d3ae10f1f</v>
      </c>
      <c r="FB11" t="inlineStr">
        <is>
          <t>CHRISTCHURCH</t>
        </is>
      </c>
      <c r="FC11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11" t="inlineStr">
        <is>
          <t>Australia</t>
        </is>
      </c>
      <c r="FE11" t="inlineStr">
        <is>
          <t>0000000000001058879</t>
        </is>
      </c>
      <c r="FM11" t="inlineStr" s="6">
        <f>HYPERLINK("https://metagenicsd365.crm6.dynamics.com/main.aspx?etn=meta_country&amp;pagetype=entityrecord&amp;id=b5015a9c-41a7-e911-a86f-000d3ae10f1f","b5015a9c-41a7-e911-a86f-000d3ae10f1f")</f>
        <v>b5015a9c-41a7-e911-a86f-000d3ae10f1f</v>
      </c>
      <c r="FN11" t="inlineStr">
        <is>
          <t>New Zealand</t>
        </is>
      </c>
      <c r="FO11" t="b">
        <v>1</v>
      </c>
      <c r="FP11" t="inlineStr">
        <is>
          <t>Yes</t>
        </is>
      </c>
      <c r="FQ11" t="inlineStr">
        <is>
          <t>PRACS</t>
        </is>
      </c>
      <c r="FW11" t="b">
        <v>0</v>
      </c>
      <c r="FX11" t="inlineStr">
        <is>
          <t>No</t>
        </is>
      </c>
      <c r="GA11" t="inlineStr">
        <is>
          <t>ABL9914651</t>
        </is>
      </c>
      <c r="GD11">
        <v>951850000</v>
      </c>
      <c r="GE11" t="inlineStr">
        <is>
          <t>Pending</t>
        </is>
      </c>
      <c r="GF11">
        <v>0.0000</v>
      </c>
      <c r="GG11">
        <v>0.0000</v>
      </c>
      <c r="GH11" s="3">
        <v>46122.659502314818</v>
      </c>
      <c r="GI11">
        <v>1</v>
      </c>
      <c r="GJ11" t="b">
        <v>1</v>
      </c>
      <c r="GK11" t="inlineStr">
        <is>
          <t>Yes</t>
        </is>
      </c>
      <c r="GO11" s="3">
        <v>46122.659502314818</v>
      </c>
      <c r="GR11" s="3">
        <v>46122.659502314818</v>
      </c>
      <c r="GU11" s="3">
        <v>46122.659502314818</v>
      </c>
      <c r="GY11" t="inlineStr">
        <is>
          <t>000001058879</t>
        </is>
      </c>
      <c r="HB11" t="inlineStr">
        <is>
          <t>ASTI RENAUT INTERNATIONAL ACCOUNT</t>
        </is>
      </c>
      <c r="HI11">
        <v>0.0000</v>
      </c>
      <c r="HK11" s="3">
        <v>46122.659502314818</v>
      </c>
      <c r="HL11">
        <v>1</v>
      </c>
      <c r="HM11">
        <v>0.0000</v>
      </c>
      <c r="HO11" s="3">
        <v>46122.659502314818</v>
      </c>
      <c r="HP11">
        <v>1</v>
      </c>
      <c r="HX11" t="inlineStr" s="6">
        <f>HYPERLINK("https://metagenicsd365.crm6.dynamics.com/main.aspx?etn=meta_paymentterm&amp;pagetype=entityrecord&amp;id=31971c9d-38ba-eb11-8236-00224817f624","31971c9d-38ba-eb11-8236-00224817f624")</f>
        <v>31971c9d-38ba-eb11-8236-00224817f624</v>
      </c>
      <c r="HY11" t="inlineStr">
        <is>
          <t>Cash</t>
        </is>
      </c>
      <c r="ID11" t="inlineStr">
        <is>
          <t>444 PAPANUI ROAD</t>
        </is>
      </c>
      <c r="IE11" t="inlineStr" s="6">
        <f>HYPERLINK("https://metagenicsd365.crm6.dynamics.com/main.aspx?etn=meta_country&amp;pagetype=entityrecord&amp;id=b5015a9c-41a7-e911-a86f-000d3ae10f1f","b5015a9c-41a7-e911-a86f-000d3ae10f1f")</f>
        <v>b5015a9c-41a7-e911-a86f-000d3ae10f1f</v>
      </c>
      <c r="IF11" t="inlineStr">
        <is>
          <t>New Zealand</t>
        </is>
      </c>
      <c r="IG11" t="inlineStr" s="6">
        <f>HYPERLINK("https://metagenicsd365.crm6.dynamics.com/main.aspx?etn=meta_postcode&amp;pagetype=entityrecord&amp;id=5f5208dc-b2a7-e911-a886-000d3ae106b8","5f5208dc-b2a7-e911-a886-000d3ae106b8")</f>
        <v>5f5208dc-b2a7-e911-a886-000d3ae106b8</v>
      </c>
      <c r="IH11" t="inlineStr">
        <is>
          <t>8053</t>
        </is>
      </c>
      <c r="II11" t="inlineStr" s="6">
        <f>HYPERLINK("https://metagenicsd365.crm6.dynamics.com/main.aspx?etn=meta_suburb&amp;pagetype=entityrecord&amp;id=cbe5d719-b7a7-e911-a86f-000d3ae10f1f","cbe5d719-b7a7-e911-a86f-000d3ae10f1f")</f>
        <v>cbe5d719-b7a7-e911-a86f-000d3ae10f1f</v>
      </c>
      <c r="IJ11" t="inlineStr">
        <is>
          <t>CHRISTCHURCH</t>
        </is>
      </c>
      <c r="IK11" t="inlineStr" s="6">
        <f>HYPERLINK("https://metagenicsd365.crm6.dynamics.com/main.aspx?etn=meta_postcode&amp;pagetype=entityrecord&amp;id=5f5208dc-b2a7-e911-a886-000d3ae106b8","5f5208dc-b2a7-e911-a886-000d3ae106b8")</f>
        <v>5f5208dc-b2a7-e911-a886-000d3ae106b8</v>
      </c>
      <c r="IL11" t="inlineStr">
        <is>
          <t>8053</t>
        </is>
      </c>
      <c r="IM11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11" t="inlineStr">
        <is>
          <t># HWORLD</t>
        </is>
      </c>
      <c r="IO11" t="inlineStr" s="6">
        <f>HYPERLINK("https://metagenicsd365.crm6.dynamics.com/main.aspx?etn=meta_segment&amp;pagetype=entityrecord&amp;id=44e3a56e-8030-eb11-a813-000d3ae15585","44e3a56e-8030-eb11-a813-000d3ae15585")</f>
        <v>44e3a56e-8030-eb11-a813-000d3ae15585</v>
      </c>
      <c r="IP11" t="inlineStr">
        <is>
          <t>10 - New accounts opened</t>
        </is>
      </c>
      <c r="IQ11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11" t="inlineStr">
        <is>
          <t>APH0</t>
        </is>
      </c>
      <c r="IZ11">
        <v>951850000</v>
      </c>
      <c r="JA11" t="inlineStr">
        <is>
          <t>Billing</t>
        </is>
      </c>
      <c r="JE11" t="b">
        <v>0</v>
      </c>
      <c r="JF11" t="inlineStr">
        <is>
          <t>No</t>
        </is>
      </c>
      <c r="JY11" t="inlineStr" s="6">
        <f>HYPERLINK("https://metagenicsd365.crm6.dynamics.com/main.aspx?etn=meta_suburb&amp;pagetype=entityrecord&amp;id=cbe5d719-b7a7-e911-a86f-000d3ae10f1f","cbe5d719-b7a7-e911-a86f-000d3ae10f1f")</f>
        <v>cbe5d719-b7a7-e911-a86f-000d3ae10f1f</v>
      </c>
      <c r="JZ11" t="inlineStr">
        <is>
          <t>CHRISTCHURCH</t>
        </is>
      </c>
      <c r="KB11">
        <v>0.0000</v>
      </c>
      <c r="KD11" s="3">
        <v>46122.659502314818</v>
      </c>
      <c r="KE11">
        <v>1</v>
      </c>
      <c r="KF11">
        <v>0.0000</v>
      </c>
      <c r="KH11" s="3">
        <v>46122.659502314818</v>
      </c>
      <c r="KI11">
        <v>1</v>
      </c>
      <c r="KJ11">
        <v>0.0000</v>
      </c>
      <c r="KL11" s="3">
        <v>46122.659502314818</v>
      </c>
      <c r="KM11">
        <v>1</v>
      </c>
      <c r="KN11" t="b">
        <v>0</v>
      </c>
      <c r="KO11" t="inlineStr">
        <is>
          <t>No</t>
        </is>
      </c>
      <c r="KP11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11" t="inlineStr">
        <is>
          <t>Sriganesh Subramanian</t>
        </is>
      </c>
      <c r="KT11" s="3">
        <v>46086.457233796296</v>
      </c>
      <c r="LA11" t="b">
        <v>0</v>
      </c>
      <c r="LB11" t="inlineStr">
        <is>
          <t>No</t>
        </is>
      </c>
      <c r="LH11" t="inlineStr">
        <is>
          <t>ASTI RENAUT INTERNATIONAL ACCOUNT</t>
        </is>
      </c>
      <c r="LO11">
        <v>0</v>
      </c>
      <c r="LP11" s="3">
        <v>46122.659502314818</v>
      </c>
      <c r="LQ11">
        <v>1</v>
      </c>
      <c r="LR11">
        <v>0.0000</v>
      </c>
      <c r="LS11">
        <v>0.0000</v>
      </c>
      <c r="LT11" s="3">
        <v>46122.659502314818</v>
      </c>
      <c r="LU11">
        <v>1</v>
      </c>
      <c r="LY11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11" t="inlineStr">
        <is>
          <t>Australia</t>
        </is>
      </c>
      <c r="MA11" t="inlineStr">
        <is>
          <t>team</t>
        </is>
      </c>
      <c r="MD11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11" t="inlineStr">
        <is>
          <t>Australia</t>
        </is>
      </c>
      <c r="MF11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L11" t="b">
        <v>0</v>
      </c>
      <c r="MM11" t="inlineStr">
        <is>
          <t>No</t>
        </is>
      </c>
      <c r="MT11">
        <v>1</v>
      </c>
      <c r="MU11" t="inlineStr">
        <is>
          <t>Any</t>
        </is>
      </c>
      <c r="NB11" t="inlineStr" s="6">
        <f>HYPERLINK("https://metagenicsd365.crm6.dynamics.com/main.aspx?etn=contact&amp;pagetype=entityrecord&amp;id=15ecd8e7-8e1f-ea11-a810-000d3a795fed","15ecd8e7-8e1f-ea11-a810-000d3a795fed")</f>
        <v>15ecd8e7-8e1f-ea11-a810-000d3a795fed</v>
      </c>
      <c r="NC11" t="inlineStr">
        <is>
          <t>ASTI RENAUT</t>
        </is>
      </c>
      <c r="NJ11">
        <v>1</v>
      </c>
      <c r="NK11" t="inlineStr">
        <is>
          <t>Airborne</t>
        </is>
      </c>
      <c r="NR11">
        <v>0</v>
      </c>
      <c r="NS11" t="inlineStr">
        <is>
          <t>Active</t>
        </is>
      </c>
      <c r="NT11">
        <v>1</v>
      </c>
      <c r="NU11" t="inlineStr">
        <is>
          <t>Active</t>
        </is>
      </c>
      <c r="NX11" t="inlineStr">
        <is>
          <t>0211 578 966</t>
        </is>
      </c>
      <c r="NY11" t="inlineStr">
        <is>
          <t>0211 578 966</t>
        </is>
      </c>
      <c r="OA11">
        <v>1</v>
      </c>
      <c r="OB11" t="inlineStr">
        <is>
          <t>Default Value</t>
        </is>
      </c>
      <c r="OG11">
        <v>0</v>
      </c>
      <c r="OH11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11" t="inlineStr">
        <is>
          <t>Australian Dollar</t>
        </is>
      </c>
      <c r="OL11" t="inlineStr">
        <is>
          <t>0x000000003D836EA1</t>
        </is>
      </c>
    </row>
    <row r="12">
      <c r="C12">
        <v>1</v>
      </c>
      <c r="D12" t="inlineStr">
        <is>
          <t>Default Value</t>
        </is>
      </c>
      <c r="E12" t="inlineStr" s="6">
        <f>HYPERLINK("https://metagenicsd365.crm6.dynamics.com/main.aspx?etn=account&amp;pagetype=entityrecord&amp;id=1ab982a0-c244-ef11-a316-000d3a793080","1ab982a0-c244-ef11-a316-000d3a793080")</f>
        <v>1ab982a0-c244-ef11-a316-000d3a793080</v>
      </c>
      <c r="F12" t="inlineStr">
        <is>
          <t>000001058968</t>
        </is>
      </c>
      <c r="G12">
        <v>1</v>
      </c>
      <c r="H12" t="inlineStr">
        <is>
          <t>Default Value</t>
        </is>
      </c>
      <c r="I12" t="inlineStr" s="6">
        <f>HYPERLINK("https://metagenicsd365.crm6.dynamics.com/main.aspx?etn=account&amp;pagetype=entityrecord&amp;id=5c8e2c07-1f32-44e3-a402-9e33e7a8d233","5c8e2c07-1f32-44e3-a402-9e33e7a8d233")</f>
        <v>5c8e2c07-1f32-44e3-a402-9e33e7a8d233</v>
      </c>
      <c r="L12" t="inlineStr">
        <is>
          <t>/meta_suburbs(1c6b7fb3-b5a7-e911-a873-000d3ae10139)</t>
        </is>
      </c>
      <c r="M12" t="inlineStr">
        <is>
          <t>20-22 WILLS STREET
/meta_suburbs(1c6b7fb3-b5a7-e911-a873-000d3ae10139), QLD</t>
        </is>
      </c>
      <c r="T12" t="inlineStr">
        <is>
          <t>20-22 WILLS STREET</t>
        </is>
      </c>
      <c r="AD12" t="inlineStr">
        <is>
          <t>QLD</t>
        </is>
      </c>
      <c r="AE12" t="inlineStr">
        <is>
          <t>07 4654 1672</t>
        </is>
      </c>
      <c r="AJ12" t="inlineStr" s="6">
        <f>HYPERLINK("https://metagenicsd365.crm6.dynamics.com/main.aspx?etn=account&amp;pagetype=entityrecord&amp;id=c34f9689-0372-41f8-a1c4-d34bc4cac6b1","c34f9689-0372-41f8-a1c4-d34bc4cac6b1")</f>
        <v>c34f9689-0372-41f8-a1c4-d34bc4cac6b1</v>
      </c>
      <c r="AK12">
        <v>1</v>
      </c>
      <c r="AL12" t="inlineStr">
        <is>
          <t>Default Value</t>
        </is>
      </c>
      <c r="AM12" t="inlineStr">
        <is>
          <t>/meta_suburbs(1c6b7fb3-b5a7-e911-a873-000d3ae10139)</t>
        </is>
      </c>
      <c r="AN12" t="inlineStr">
        <is>
          <t>20-22 WILLS STREET
/meta_suburbs(1c6b7fb3-b5a7-e911-a873-000d3ae10139), QLD</t>
        </is>
      </c>
      <c r="AR12">
        <v>1</v>
      </c>
      <c r="AS12" t="inlineStr">
        <is>
          <t>Default Value</t>
        </is>
      </c>
      <c r="AU12" t="inlineStr">
        <is>
          <t>20-22 WILLS STREET</t>
        </is>
      </c>
      <c r="BC12">
        <v>1</v>
      </c>
      <c r="BD12" t="inlineStr">
        <is>
          <t>Default Value</t>
        </is>
      </c>
      <c r="BE12" t="inlineStr">
        <is>
          <t>QLD</t>
        </is>
      </c>
      <c r="BU12">
        <v>1</v>
      </c>
      <c r="BV12" t="inlineStr">
        <is>
          <t>Default Value</t>
        </is>
      </c>
      <c r="BY12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12" t="inlineStr">
        <is>
          <t>SVC_D365_CE #</t>
        </is>
      </c>
      <c r="CC12" s="3">
        <v>45491.208657407406</v>
      </c>
      <c r="CH12" t="b">
        <v>0</v>
      </c>
      <c r="CI12" t="inlineStr">
        <is>
          <t>No</t>
        </is>
      </c>
      <c r="CJ12">
        <v>1</v>
      </c>
      <c r="CK12" t="inlineStr">
        <is>
          <t>Default Value</t>
        </is>
      </c>
      <c r="CN12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12" t="inlineStr">
        <is>
          <t>All Products Australia</t>
        </is>
      </c>
      <c r="CQ12" t="b">
        <v>0</v>
      </c>
      <c r="CR12" t="inlineStr">
        <is>
          <t>Allow</t>
        </is>
      </c>
      <c r="CS12" t="b">
        <v>0</v>
      </c>
      <c r="CT12" t="inlineStr">
        <is>
          <t>No</t>
        </is>
      </c>
      <c r="CU12" t="b">
        <v>0</v>
      </c>
      <c r="CV12" t="inlineStr">
        <is>
          <t>Allow</t>
        </is>
      </c>
      <c r="CW12" t="b">
        <v>0</v>
      </c>
      <c r="CX12" t="inlineStr">
        <is>
          <t>Allow</t>
        </is>
      </c>
      <c r="CY12" t="b">
        <v>0</v>
      </c>
      <c r="CZ12" t="inlineStr">
        <is>
          <t>Allow</t>
        </is>
      </c>
      <c r="DA12" t="b">
        <v>0</v>
      </c>
      <c r="DB12" t="inlineStr">
        <is>
          <t>Allow</t>
        </is>
      </c>
      <c r="DC12" t="b">
        <v>0</v>
      </c>
      <c r="DD12" t="inlineStr">
        <is>
          <t>Send</t>
        </is>
      </c>
      <c r="DE12" t="inlineStr">
        <is>
          <t>charlepharm@gmail.com</t>
        </is>
      </c>
      <c r="DF12" t="inlineStr">
        <is>
          <t>charlepharm@gmail.com</t>
        </is>
      </c>
      <c r="DO12">
        <v>1.0000000000</v>
      </c>
      <c r="DQ12" t="b">
        <v>1</v>
      </c>
      <c r="DR12" t="inlineStr">
        <is>
          <t>Allow</t>
        </is>
      </c>
      <c r="EA12" t="b">
        <v>0</v>
      </c>
      <c r="EB12" t="inlineStr">
        <is>
          <t>No</t>
        </is>
      </c>
      <c r="EE12" t="b">
        <v>0</v>
      </c>
      <c r="EF12" t="inlineStr">
        <is>
          <t>No</t>
        </is>
      </c>
      <c r="EG12" t="inlineStr">
        <is>
          <t>No</t>
        </is>
      </c>
      <c r="EJ12" t="inlineStr">
        <is>
          <t>951850000,951850001</t>
        </is>
      </c>
      <c r="EK12" t="inlineStr">
        <is>
          <t>Retail; Practitioner</t>
        </is>
      </c>
      <c r="EL12" s="3">
        <v>45491.203900462962</v>
      </c>
      <c r="EM12" s="3">
        <v>93138.99998842593</v>
      </c>
      <c r="EN12" t="inlineStr">
        <is>
          <t>PRAC</t>
        </is>
      </c>
      <c r="EO12" t="b">
        <v>0</v>
      </c>
      <c r="EP12" t="inlineStr">
        <is>
          <t>No</t>
        </is>
      </c>
      <c r="EQ12" t="inlineStr">
        <is>
          <t>No</t>
        </is>
      </c>
      <c r="EU12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12" t="inlineStr">
        <is>
          <t>Australia</t>
        </is>
      </c>
      <c r="EW12">
        <v>951850003</v>
      </c>
      <c r="EX12" t="inlineStr">
        <is>
          <t>PRA01</t>
        </is>
      </c>
      <c r="EY12" t="inlineStr" s="6">
        <f>HYPERLINK("https://metagenicsd365.crm6.dynamics.com/main.aspx?etn=meta_postcode&amp;pagetype=entityrecord&amp;id=aecfa404-b2a7-e911-a886-000d3ae106b8","aecfa404-b2a7-e911-a886-000d3ae106b8")</f>
        <v>aecfa404-b2a7-e911-a886-000d3ae106b8</v>
      </c>
      <c r="EZ12" t="inlineStr">
        <is>
          <t>4470</t>
        </is>
      </c>
      <c r="FA12" t="inlineStr" s="6">
        <f>HYPERLINK("https://metagenicsd365.crm6.dynamics.com/main.aspx?etn=meta_suburb&amp;pagetype=entityrecord&amp;id=1c6b7fb3-b5a7-e911-a873-000d3ae10139","1c6b7fb3-b5a7-e911-a873-000d3ae10139")</f>
        <v>1c6b7fb3-b5a7-e911-a873-000d3ae10139</v>
      </c>
      <c r="FB12" t="inlineStr">
        <is>
          <t>CHARLEVILLE</t>
        </is>
      </c>
      <c r="FC12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12" t="inlineStr">
        <is>
          <t>Australia</t>
        </is>
      </c>
      <c r="FE12" t="inlineStr">
        <is>
          <t>0000000000001058968</t>
        </is>
      </c>
      <c r="FM12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12" t="inlineStr">
        <is>
          <t>Australia</t>
        </is>
      </c>
      <c r="FO12" t="b">
        <v>1</v>
      </c>
      <c r="FP12" t="inlineStr">
        <is>
          <t>Yes</t>
        </is>
      </c>
      <c r="FQ12" t="inlineStr">
        <is>
          <t>PRACS</t>
        </is>
      </c>
      <c r="FW12" t="b">
        <v>0</v>
      </c>
      <c r="FX12" t="inlineStr">
        <is>
          <t>No</t>
        </is>
      </c>
      <c r="GA12" t="inlineStr">
        <is>
          <t>ABL9929147</t>
        </is>
      </c>
      <c r="GD12">
        <v>951850000</v>
      </c>
      <c r="GE12" t="inlineStr">
        <is>
          <t>Pending</t>
        </is>
      </c>
      <c r="GF12">
        <v>0.0000</v>
      </c>
      <c r="GG12">
        <v>0.0000</v>
      </c>
      <c r="GH12" s="3">
        <v>46122.659502314818</v>
      </c>
      <c r="GI12">
        <v>1</v>
      </c>
      <c r="GJ12" t="b">
        <v>1</v>
      </c>
      <c r="GK12" t="inlineStr">
        <is>
          <t>Yes</t>
        </is>
      </c>
      <c r="GL12" t="b">
        <v>1</v>
      </c>
      <c r="GM12" t="inlineStr">
        <is>
          <t>Yes</t>
        </is>
      </c>
      <c r="GO12" s="3">
        <v>46122.659502314818</v>
      </c>
      <c r="GQ12" s="3">
        <v>45941.165127314816</v>
      </c>
      <c r="GR12" s="3">
        <v>46122.659502314818</v>
      </c>
      <c r="GS12">
        <v>1</v>
      </c>
      <c r="GU12" s="3">
        <v>46122.659502314818</v>
      </c>
      <c r="GY12" t="inlineStr">
        <is>
          <t>000001058968</t>
        </is>
      </c>
      <c r="HB12" t="inlineStr">
        <is>
          <t>CHARLEVILLE PHARMACY</t>
        </is>
      </c>
      <c r="HC12" t="inlineStr">
        <is>
          <t>P0R10</t>
        </is>
      </c>
      <c r="HI12">
        <v>0.0000</v>
      </c>
      <c r="HK12" s="3">
        <v>46122.659502314818</v>
      </c>
      <c r="HL12">
        <v>1</v>
      </c>
      <c r="HM12">
        <v>0.0000</v>
      </c>
      <c r="HN12">
        <v>0.0000</v>
      </c>
      <c r="HO12" s="3">
        <v>46122.659502314818</v>
      </c>
      <c r="HP12">
        <v>1</v>
      </c>
      <c r="HX12" t="inlineStr" s="6">
        <f>HYPERLINK("https://metagenicsd365.crm6.dynamics.com/main.aspx?etn=meta_paymentterm&amp;pagetype=entityrecord&amp;id=0768c959-38ba-eb11-8236-00224817f624","0768c959-38ba-eb11-8236-00224817f624")</f>
        <v>0768c959-38ba-eb11-8236-00224817f624</v>
      </c>
      <c r="HY12" t="inlineStr">
        <is>
          <t>Net 30 Days End of Month</t>
        </is>
      </c>
      <c r="IC12" t="inlineStr">
        <is>
          <t>QLD</t>
        </is>
      </c>
      <c r="ID12" t="inlineStr">
        <is>
          <t>20-22 WILLS STREET</t>
        </is>
      </c>
      <c r="IE12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12" t="inlineStr">
        <is>
          <t>Australia</t>
        </is>
      </c>
      <c r="IG12" t="inlineStr" s="6">
        <f>HYPERLINK("https://metagenicsd365.crm6.dynamics.com/main.aspx?etn=meta_postcode&amp;pagetype=entityrecord&amp;id=aecfa404-b2a7-e911-a886-000d3ae106b8","aecfa404-b2a7-e911-a886-000d3ae106b8")</f>
        <v>aecfa404-b2a7-e911-a886-000d3ae106b8</v>
      </c>
      <c r="IH12" t="inlineStr">
        <is>
          <t>4470</t>
        </is>
      </c>
      <c r="II12" t="inlineStr" s="6">
        <f>HYPERLINK("https://metagenicsd365.crm6.dynamics.com/main.aspx?etn=meta_suburb&amp;pagetype=entityrecord&amp;id=1c6b7fb3-b5a7-e911-a873-000d3ae10139","1c6b7fb3-b5a7-e911-a873-000d3ae10139")</f>
        <v>1c6b7fb3-b5a7-e911-a873-000d3ae10139</v>
      </c>
      <c r="IJ12" t="inlineStr">
        <is>
          <t>CHARLEVILLE</t>
        </is>
      </c>
      <c r="IK12" t="inlineStr" s="6">
        <f>HYPERLINK("https://metagenicsd365.crm6.dynamics.com/main.aspx?etn=meta_postcode&amp;pagetype=entityrecord&amp;id=aecfa404-b2a7-e911-a886-000d3ae106b8","aecfa404-b2a7-e911-a886-000d3ae106b8")</f>
        <v>aecfa404-b2a7-e911-a886-000d3ae106b8</v>
      </c>
      <c r="IL12" t="inlineStr">
        <is>
          <t>4470</t>
        </is>
      </c>
      <c r="IM12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12" t="inlineStr">
        <is>
          <t># HWORLD</t>
        </is>
      </c>
      <c r="IO12" t="inlineStr" s="6">
        <f>HYPERLINK("https://metagenicsd365.crm6.dynamics.com/main.aspx?etn=meta_segment&amp;pagetype=entityrecord&amp;id=44e3a56e-8030-eb11-a813-000d3ae15585","44e3a56e-8030-eb11-a813-000d3ae15585")</f>
        <v>44e3a56e-8030-eb11-a813-000d3ae15585</v>
      </c>
      <c r="IP12" t="inlineStr">
        <is>
          <t>10 - New accounts opened</t>
        </is>
      </c>
      <c r="IQ12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12" t="inlineStr">
        <is>
          <t>APH0</t>
        </is>
      </c>
      <c r="IZ12">
        <v>951850000</v>
      </c>
      <c r="JA12" t="inlineStr">
        <is>
          <t>Billing</t>
        </is>
      </c>
      <c r="JE12" t="b">
        <v>0</v>
      </c>
      <c r="JF12" t="inlineStr">
        <is>
          <t>No</t>
        </is>
      </c>
      <c r="JI12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JJ12" t="inlineStr">
        <is>
          <t># HWORLD</t>
        </is>
      </c>
      <c r="JK12" t="inlineStr" s="6">
        <f>HYPERLINK("https://metagenicsd365.crm6.dynamics.com/main.aspx?etn=meta_segment&amp;pagetype=entityrecord&amp;id=0ee7638c-8f3a-f011-8c4d-00224817f0f1","0ee7638c-8f3a-f011-8c4d-00224817f0f1")</f>
        <v>0ee7638c-8f3a-f011-8c4d-00224817f0f1</v>
      </c>
      <c r="JL12" t="inlineStr">
        <is>
          <t>20 - Outbound Retail Head Office Contact</t>
        </is>
      </c>
      <c r="JM12" t="inlineStr" s="6">
        <f>HYPERLINK("https://metagenicsd365.crm6.dynamics.com/main.aspx?etn=territory&amp;pagetype=entityrecord&amp;id=c64322e5-8030-eb11-a813-000d3ae15585","c64322e5-8030-eb11-a813-000d3ae15585")</f>
        <v>c64322e5-8030-eb11-a813-000d3ae15585</v>
      </c>
      <c r="JN12" t="inlineStr">
        <is>
          <t>ARH0</t>
        </is>
      </c>
      <c r="JT12">
        <v>951850001</v>
      </c>
      <c r="JU12" t="inlineStr">
        <is>
          <t>EXP - Standard Shipping</t>
        </is>
      </c>
      <c r="JY12" t="inlineStr" s="6">
        <f>HYPERLINK("https://metagenicsd365.crm6.dynamics.com/main.aspx?etn=meta_suburb&amp;pagetype=entityrecord&amp;id=1c6b7fb3-b5a7-e911-a873-000d3ae10139","1c6b7fb3-b5a7-e911-a873-000d3ae10139")</f>
        <v>1c6b7fb3-b5a7-e911-a873-000d3ae10139</v>
      </c>
      <c r="JZ12" t="inlineStr">
        <is>
          <t>CHARLEVILLE</t>
        </is>
      </c>
      <c r="KB12">
        <v>0.0000</v>
      </c>
      <c r="KD12" s="3">
        <v>46122.659502314818</v>
      </c>
      <c r="KE12">
        <v>1</v>
      </c>
      <c r="KF12">
        <v>0.0000</v>
      </c>
      <c r="KG12">
        <v>0.0000</v>
      </c>
      <c r="KH12" s="3">
        <v>46122.659502314818</v>
      </c>
      <c r="KI12">
        <v>1</v>
      </c>
      <c r="KJ12">
        <v>0.0000</v>
      </c>
      <c r="KK12">
        <v>0.0000</v>
      </c>
      <c r="KL12" s="3">
        <v>46122.659502314818</v>
      </c>
      <c r="KM12">
        <v>1</v>
      </c>
      <c r="KN12" t="b">
        <v>0</v>
      </c>
      <c r="KO12" t="inlineStr">
        <is>
          <t>No</t>
        </is>
      </c>
      <c r="KP12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12" t="inlineStr">
        <is>
          <t>Sriganesh Subramanian</t>
        </is>
      </c>
      <c r="KT12" s="3">
        <v>46086.459641203706</v>
      </c>
      <c r="LA12" t="b">
        <v>0</v>
      </c>
      <c r="LB12" t="inlineStr">
        <is>
          <t>No</t>
        </is>
      </c>
      <c r="LH12" t="inlineStr">
        <is>
          <t>CHARLEVILLE PHARMACY</t>
        </is>
      </c>
      <c r="LO12">
        <v>0</v>
      </c>
      <c r="LP12" s="3">
        <v>46122.659502314818</v>
      </c>
      <c r="LQ12">
        <v>1</v>
      </c>
      <c r="LR12">
        <v>0.0000</v>
      </c>
      <c r="LS12">
        <v>0.0000</v>
      </c>
      <c r="LT12" s="3">
        <v>46122.659502314818</v>
      </c>
      <c r="LU12">
        <v>1</v>
      </c>
      <c r="LY12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12" t="inlineStr">
        <is>
          <t>Australia</t>
        </is>
      </c>
      <c r="MA12" t="inlineStr">
        <is>
          <t>team</t>
        </is>
      </c>
      <c r="MD12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12" t="inlineStr">
        <is>
          <t>Australia</t>
        </is>
      </c>
      <c r="MF12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L12" t="b">
        <v>0</v>
      </c>
      <c r="MM12" t="inlineStr">
        <is>
          <t>No</t>
        </is>
      </c>
      <c r="MT12">
        <v>1</v>
      </c>
      <c r="MU12" t="inlineStr">
        <is>
          <t>Any</t>
        </is>
      </c>
      <c r="NB12" t="inlineStr" s="6">
        <f>HYPERLINK("https://metagenicsd365.crm6.dynamics.com/main.aspx?etn=contact&amp;pagetype=entityrecord&amp;id=7d245aa4-c244-ef11-a316-00224817f9b5","7d245aa4-c244-ef11-a316-00224817f9b5")</f>
        <v>7d245aa4-c244-ef11-a316-00224817f9b5</v>
      </c>
      <c r="NC12" t="inlineStr">
        <is>
          <t>TIFFANY BLACKER</t>
        </is>
      </c>
      <c r="NJ12">
        <v>1</v>
      </c>
      <c r="NK12" t="inlineStr">
        <is>
          <t>Airborne</t>
        </is>
      </c>
      <c r="NR12">
        <v>0</v>
      </c>
      <c r="NS12" t="inlineStr">
        <is>
          <t>Active</t>
        </is>
      </c>
      <c r="NT12">
        <v>1</v>
      </c>
      <c r="NU12" t="inlineStr">
        <is>
          <t>Active</t>
        </is>
      </c>
      <c r="NX12" t="inlineStr">
        <is>
          <t>07 4654 1672</t>
        </is>
      </c>
      <c r="NY12" t="inlineStr">
        <is>
          <t>07 4654 1672</t>
        </is>
      </c>
      <c r="OA12">
        <v>1</v>
      </c>
      <c r="OB12" t="inlineStr">
        <is>
          <t>Default Value</t>
        </is>
      </c>
      <c r="OG12">
        <v>0</v>
      </c>
      <c r="OH12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12" t="inlineStr">
        <is>
          <t>Australian Dollar</t>
        </is>
      </c>
      <c r="OL12" t="inlineStr">
        <is>
          <t>0x000000003D83760C</t>
        </is>
      </c>
    </row>
    <row r="13">
      <c r="C13">
        <v>1</v>
      </c>
      <c r="D13" t="inlineStr">
        <is>
          <t>Default Value</t>
        </is>
      </c>
      <c r="E13" t="inlineStr" s="6">
        <f>HYPERLINK("https://metagenicsd365.crm6.dynamics.com/main.aspx?etn=account&amp;pagetype=entityrecord&amp;id=2769271e-cd44-ef11-a316-000d3a793080","2769271e-cd44-ef11-a316-000d3a793080")</f>
        <v>2769271e-cd44-ef11-a316-000d3a793080</v>
      </c>
      <c r="F13" t="inlineStr">
        <is>
          <t>000000044075</t>
        </is>
      </c>
      <c r="G13">
        <v>1</v>
      </c>
      <c r="H13" t="inlineStr">
        <is>
          <t>Default Value</t>
        </is>
      </c>
      <c r="I13" t="inlineStr" s="6">
        <f>HYPERLINK("https://metagenicsd365.crm6.dynamics.com/main.aspx?etn=account&amp;pagetype=entityrecord&amp;id=ae0677b2-b604-4a8b-a411-6ecd14ca9e8b","ae0677b2-b604-4a8b-a411-6ecd14ca9e8b")</f>
        <v>ae0677b2-b604-4a8b-a411-6ecd14ca9e8b</v>
      </c>
      <c r="M13" t="inlineStr">
        <is>
          <t>SUITE 8 40 PANMURE STREET
NSW</t>
        </is>
      </c>
      <c r="T13" t="inlineStr">
        <is>
          <t>SUITE 8 40 PANMURE STREET</t>
        </is>
      </c>
      <c r="AD13" t="inlineStr">
        <is>
          <t>NSW</t>
        </is>
      </c>
      <c r="AJ13" t="inlineStr" s="6">
        <f>HYPERLINK("https://metagenicsd365.crm6.dynamics.com/main.aspx?etn=account&amp;pagetype=entityrecord&amp;id=238e2c31-f4d2-4e18-a4d4-32d20199df3b","238e2c31-f4d2-4e18-a4d4-32d20199df3b")</f>
        <v>238e2c31-f4d2-4e18-a4d4-32d20199df3b</v>
      </c>
      <c r="AK13">
        <v>1</v>
      </c>
      <c r="AL13" t="inlineStr">
        <is>
          <t>Default Value</t>
        </is>
      </c>
      <c r="AN13" t="inlineStr">
        <is>
          <t>RACHEL TRUJILLO CHIROPRACTOR
104 PITT TOWN ROAD
NSW</t>
        </is>
      </c>
      <c r="AR13">
        <v>1</v>
      </c>
      <c r="AS13" t="inlineStr">
        <is>
          <t>Default Value</t>
        </is>
      </c>
      <c r="AU13" t="inlineStr">
        <is>
          <t>RACHEL TRUJILLO CHIROPRACTOR</t>
        </is>
      </c>
      <c r="AV13" t="inlineStr">
        <is>
          <t>104 PITT TOWN ROAD</t>
        </is>
      </c>
      <c r="BC13">
        <v>1</v>
      </c>
      <c r="BD13" t="inlineStr">
        <is>
          <t>Default Value</t>
        </is>
      </c>
      <c r="BE13" t="inlineStr">
        <is>
          <t>NSW</t>
        </is>
      </c>
      <c r="BU13">
        <v>1</v>
      </c>
      <c r="BV13" t="inlineStr">
        <is>
          <t>Default Value</t>
        </is>
      </c>
      <c r="BY13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13" t="inlineStr">
        <is>
          <t>SVC_D365_CE #</t>
        </is>
      </c>
      <c r="CC13" s="3">
        <v>45491.260694444441</v>
      </c>
      <c r="CF13">
        <v>0.0000</v>
      </c>
      <c r="CG13">
        <v>0.0000</v>
      </c>
      <c r="CH13" t="b">
        <v>0</v>
      </c>
      <c r="CI13" t="inlineStr">
        <is>
          <t>No</t>
        </is>
      </c>
      <c r="CJ13">
        <v>1</v>
      </c>
      <c r="CK13" t="inlineStr">
        <is>
          <t>Default Value</t>
        </is>
      </c>
      <c r="CQ13" t="b">
        <v>0</v>
      </c>
      <c r="CR13" t="inlineStr">
        <is>
          <t>Allow</t>
        </is>
      </c>
      <c r="CS13" t="b">
        <v>0</v>
      </c>
      <c r="CT13" t="inlineStr">
        <is>
          <t>No</t>
        </is>
      </c>
      <c r="CU13" t="b">
        <v>0</v>
      </c>
      <c r="CV13" t="inlineStr">
        <is>
          <t>Allow</t>
        </is>
      </c>
      <c r="CW13" t="b">
        <v>0</v>
      </c>
      <c r="CX13" t="inlineStr">
        <is>
          <t>Allow</t>
        </is>
      </c>
      <c r="CY13" t="b">
        <v>0</v>
      </c>
      <c r="CZ13" t="inlineStr">
        <is>
          <t>Allow</t>
        </is>
      </c>
      <c r="DA13" t="b">
        <v>0</v>
      </c>
      <c r="DB13" t="inlineStr">
        <is>
          <t>Allow</t>
        </is>
      </c>
      <c r="DC13" t="b">
        <v>0</v>
      </c>
      <c r="DD13" t="inlineStr">
        <is>
          <t>Send</t>
        </is>
      </c>
      <c r="DF13" t="inlineStr">
        <is>
          <t>racheltrujillo@hotmail.com</t>
        </is>
      </c>
      <c r="DO13">
        <v>1.0000000000</v>
      </c>
      <c r="DQ13" t="b">
        <v>1</v>
      </c>
      <c r="DR13" t="inlineStr">
        <is>
          <t>Allow</t>
        </is>
      </c>
      <c r="EA13" t="b">
        <v>0</v>
      </c>
      <c r="EB13" t="inlineStr">
        <is>
          <t>No</t>
        </is>
      </c>
      <c r="EC13" t="inlineStr" s="6">
        <f>HYPERLINK("https://metagenicsd365.crm6.dynamics.com/main.aspx?etn=account&amp;pagetype=entityrecord&amp;id=3580ca88-88a7-e911-a875-000d3ae104e7","3580ca88-88a7-e911-a875-000d3ae104e7")</f>
        <v>3580ca88-88a7-e911-a875-000d3ae104e7</v>
      </c>
      <c r="ED13" t="inlineStr">
        <is>
          <t>RACHEL TRUJILLO</t>
        </is>
      </c>
      <c r="EE13" t="b">
        <v>1</v>
      </c>
      <c r="EF13" t="inlineStr">
        <is>
          <t>Yes</t>
        </is>
      </c>
      <c r="EJ13" t="inlineStr">
        <is>
          <t>951850001</t>
        </is>
      </c>
      <c r="EK13" t="inlineStr">
        <is>
          <t>Practitioner</t>
        </is>
      </c>
      <c r="EM13" s="1">
        <v>45948</v>
      </c>
      <c r="EO13" t="b">
        <v>0</v>
      </c>
      <c r="EP13" t="inlineStr">
        <is>
          <t>No</t>
        </is>
      </c>
      <c r="ES13" t="inlineStr" s="6">
        <f>HYPERLINK("https://metagenicsd365.crm6.dynamics.com/main.aspx?etn=account&amp;pagetype=entityrecord&amp;id=3580ca88-88a7-e911-a875-000d3ae104e7","3580ca88-88a7-e911-a875-000d3ae104e7")</f>
        <v>3580ca88-88a7-e911-a875-000d3ae104e7</v>
      </c>
      <c r="ET13" t="inlineStr">
        <is>
          <t>RACHEL TRUJILLO</t>
        </is>
      </c>
      <c r="EU13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13" t="inlineStr">
        <is>
          <t>Australia</t>
        </is>
      </c>
      <c r="EW13">
        <v>951850003</v>
      </c>
      <c r="EX13" t="inlineStr">
        <is>
          <t>PRA01</t>
        </is>
      </c>
      <c r="EY13" t="inlineStr" s="6">
        <f>HYPERLINK("https://metagenicsd365.crm6.dynamics.com/main.aspx?etn=meta_postcode&amp;pagetype=entityrecord&amp;id=6f5e1e09-b2a7-e911-a873-000d3ae10139","6f5e1e09-b2a7-e911-a873-000d3ae10139")</f>
        <v>6f5e1e09-b2a7-e911-a873-000d3ae10139</v>
      </c>
      <c r="EZ13" t="inlineStr">
        <is>
          <t>2156</t>
        </is>
      </c>
      <c r="FA13" t="inlineStr" s="6">
        <f>HYPERLINK("https://metagenicsd365.crm6.dynamics.com/main.aspx?etn=meta_suburb&amp;pagetype=entityrecord&amp;id=90baec6c-b3a7-e911-a873-000d3ae10139","90baec6c-b3a7-e911-a873-000d3ae10139")</f>
        <v>90baec6c-b3a7-e911-a873-000d3ae10139</v>
      </c>
      <c r="FB13" t="inlineStr">
        <is>
          <t>KENTHURST</t>
        </is>
      </c>
      <c r="FC13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13" t="inlineStr">
        <is>
          <t>Australia</t>
        </is>
      </c>
      <c r="FE13" t="inlineStr">
        <is>
          <t>0000000000000044075</t>
        </is>
      </c>
      <c r="FJ13" t="inlineStr">
        <is>
          <t>Fuzzy Match Logic</t>
        </is>
      </c>
      <c r="FM13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13" t="inlineStr">
        <is>
          <t>Australia</t>
        </is>
      </c>
      <c r="FO13" t="b">
        <v>1</v>
      </c>
      <c r="FP13" t="inlineStr">
        <is>
          <t>Yes</t>
        </is>
      </c>
      <c r="FQ13" t="inlineStr">
        <is>
          <t>PRACS</t>
        </is>
      </c>
      <c r="FW13" t="b">
        <v>0</v>
      </c>
      <c r="FX13" t="inlineStr">
        <is>
          <t>No</t>
        </is>
      </c>
      <c r="GA13" t="inlineStr">
        <is>
          <t>ABL2909251</t>
        </is>
      </c>
      <c r="GD13">
        <v>951850000</v>
      </c>
      <c r="GE13" t="inlineStr">
        <is>
          <t>Pending</t>
        </is>
      </c>
      <c r="GF13">
        <v>0.0000</v>
      </c>
      <c r="GG13">
        <v>0.0000</v>
      </c>
      <c r="GH13" s="3">
        <v>46122.659502314818</v>
      </c>
      <c r="GI13">
        <v>1</v>
      </c>
      <c r="GO13" s="3">
        <v>46122.659502314818</v>
      </c>
      <c r="GR13" s="3">
        <v>46122.659502314818</v>
      </c>
      <c r="GU13" s="3">
        <v>46122.659502314818</v>
      </c>
      <c r="GY13" t="inlineStr">
        <is>
          <t>000000044075</t>
        </is>
      </c>
      <c r="GZ13" t="inlineStr">
        <is>
          <t>000000000000001</t>
        </is>
      </c>
      <c r="HB13" t="inlineStr">
        <is>
          <t>**DO NOT USE** RACHEL TRUJILLO (1)</t>
        </is>
      </c>
      <c r="HD13" t="inlineStr" s="6">
        <f>HYPERLINK("https://metagenicsd365.crm6.dynamics.com/main.aspx?etn=account&amp;pagetype=entityrecord&amp;id=3580ca88-88a7-e911-a875-000d3ae104e7","3580ca88-88a7-e911-a875-000d3ae104e7")</f>
        <v>3580ca88-88a7-e911-a875-000d3ae104e7</v>
      </c>
      <c r="HE13" t="inlineStr">
        <is>
          <t>RACHEL TRUJILLO</t>
        </is>
      </c>
      <c r="HF13" t="inlineStr">
        <is>
          <t>ABL7540431</t>
        </is>
      </c>
      <c r="HI13">
        <v>0.0000</v>
      </c>
      <c r="HJ13">
        <v>0.0000</v>
      </c>
      <c r="HK13" s="3">
        <v>46122.659502314818</v>
      </c>
      <c r="HL13">
        <v>1</v>
      </c>
      <c r="HM13">
        <v>0.0000</v>
      </c>
      <c r="HN13">
        <v>0.0000</v>
      </c>
      <c r="HO13" s="3">
        <v>46122.659502314818</v>
      </c>
      <c r="HP13">
        <v>1</v>
      </c>
      <c r="HX13" t="inlineStr" s="6">
        <f>HYPERLINK("https://metagenicsd365.crm6.dynamics.com/main.aspx?etn=meta_paymentterm&amp;pagetype=entityrecord&amp;id=31971c9d-38ba-eb11-8236-00224817f624","31971c9d-38ba-eb11-8236-00224817f624")</f>
        <v>31971c9d-38ba-eb11-8236-00224817f624</v>
      </c>
      <c r="HY13" t="inlineStr">
        <is>
          <t>Cash</t>
        </is>
      </c>
      <c r="IC13" t="inlineStr">
        <is>
          <t>NSW</t>
        </is>
      </c>
      <c r="ID13" t="inlineStr">
        <is>
          <t>SUITE 8 40 PANMURE STREET</t>
        </is>
      </c>
      <c r="IE13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13" t="inlineStr">
        <is>
          <t>Australia</t>
        </is>
      </c>
      <c r="IG13" t="inlineStr" s="6">
        <f>HYPERLINK("https://metagenicsd365.crm6.dynamics.com/main.aspx?etn=meta_postcode&amp;pagetype=entityrecord&amp;id=e332e418-b2a7-e911-a875-000d3ae104e7","e332e418-b2a7-e911-a875-000d3ae104e7")</f>
        <v>e332e418-b2a7-e911-a875-000d3ae104e7</v>
      </c>
      <c r="IH13" t="inlineStr">
        <is>
          <t>2155</t>
        </is>
      </c>
      <c r="II13" t="inlineStr" s="6">
        <f>HYPERLINK("https://metagenicsd365.crm6.dynamics.com/main.aspx?etn=meta_suburb&amp;pagetype=entityrecord&amp;id=5c378c43-b5a7-e911-a86f-000d3ae10f1f","5c378c43-b5a7-e911-a86f-000d3ae10f1f")</f>
        <v>5c378c43-b5a7-e911-a86f-000d3ae10f1f</v>
      </c>
      <c r="IJ13" t="inlineStr">
        <is>
          <t>ROUSE HILL</t>
        </is>
      </c>
      <c r="IK13" t="inlineStr" s="6">
        <f>HYPERLINK("https://metagenicsd365.crm6.dynamics.com/main.aspx?etn=meta_postcode&amp;pagetype=entityrecord&amp;id=e332e418-b2a7-e911-a875-000d3ae104e7","e332e418-b2a7-e911-a875-000d3ae104e7")</f>
        <v>e332e418-b2a7-e911-a875-000d3ae104e7</v>
      </c>
      <c r="IL13" t="inlineStr">
        <is>
          <t>2155</t>
        </is>
      </c>
      <c r="IZ13">
        <v>951850001</v>
      </c>
      <c r="JA13" t="inlineStr">
        <is>
          <t>Location</t>
        </is>
      </c>
      <c r="JE13" t="b">
        <v>0</v>
      </c>
      <c r="JF13" t="inlineStr">
        <is>
          <t>No</t>
        </is>
      </c>
      <c r="JT13">
        <v>951850001</v>
      </c>
      <c r="JU13" t="inlineStr">
        <is>
          <t>EXP - Standard Shipping</t>
        </is>
      </c>
      <c r="JY13" t="inlineStr" s="6">
        <f>HYPERLINK("https://metagenicsd365.crm6.dynamics.com/main.aspx?etn=meta_suburb&amp;pagetype=entityrecord&amp;id=5c378c43-b5a7-e911-a86f-000d3ae10f1f","5c378c43-b5a7-e911-a86f-000d3ae10f1f")</f>
        <v>5c378c43-b5a7-e911-a86f-000d3ae10f1f</v>
      </c>
      <c r="JZ13" t="inlineStr">
        <is>
          <t>ROUSE HILL</t>
        </is>
      </c>
      <c r="KA13" t="inlineStr">
        <is>
          <t>Yes</t>
        </is>
      </c>
      <c r="KB13">
        <v>0.0000</v>
      </c>
      <c r="KC13">
        <v>0.0000</v>
      </c>
      <c r="KD13" s="3">
        <v>46122.659502314818</v>
      </c>
      <c r="KE13">
        <v>1</v>
      </c>
      <c r="KF13">
        <v>0.0000</v>
      </c>
      <c r="KG13">
        <v>0.0000</v>
      </c>
      <c r="KH13" s="3">
        <v>46122.659502314818</v>
      </c>
      <c r="KI13">
        <v>1</v>
      </c>
      <c r="KJ13">
        <v>0.0000</v>
      </c>
      <c r="KK13">
        <v>0.0000</v>
      </c>
      <c r="KL13" s="3">
        <v>46122.659502314818</v>
      </c>
      <c r="KM13">
        <v>1</v>
      </c>
      <c r="KN13" t="b">
        <v>0</v>
      </c>
      <c r="KO13" t="inlineStr">
        <is>
          <t>No</t>
        </is>
      </c>
      <c r="KP13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13" t="inlineStr">
        <is>
          <t>Sriganesh Subramanian</t>
        </is>
      </c>
      <c r="KT13" s="3">
        <v>45963.892199074071</v>
      </c>
      <c r="LA13" t="b">
        <v>0</v>
      </c>
      <c r="LB13" t="inlineStr">
        <is>
          <t>No</t>
        </is>
      </c>
      <c r="LH13" t="inlineStr">
        <is>
          <t>**DO NOT USE** RACHEL TRUJILLO (1)</t>
        </is>
      </c>
      <c r="LO13">
        <v>0</v>
      </c>
      <c r="LP13" s="3">
        <v>46122.659502314818</v>
      </c>
      <c r="LQ13">
        <v>1</v>
      </c>
      <c r="LR13">
        <v>0.0000</v>
      </c>
      <c r="LS13">
        <v>0.0000</v>
      </c>
      <c r="LT13" s="3">
        <v>46122.659502314818</v>
      </c>
      <c r="LU13">
        <v>1</v>
      </c>
      <c r="LY13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13" t="inlineStr">
        <is>
          <t>Australia</t>
        </is>
      </c>
      <c r="MA13" t="inlineStr">
        <is>
          <t>team</t>
        </is>
      </c>
      <c r="MD13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13" t="inlineStr">
        <is>
          <t>Australia</t>
        </is>
      </c>
      <c r="MF13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J13" t="inlineStr" s="6">
        <f>HYPERLINK("https://metagenicsd365.crm6.dynamics.com/main.aspx?etn=account&amp;pagetype=entityrecord&amp;id=3580ca88-88a7-e911-a875-000d3ae104e7","3580ca88-88a7-e911-a875-000d3ae104e7")</f>
        <v>3580ca88-88a7-e911-a875-000d3ae104e7</v>
      </c>
      <c r="MK13" t="inlineStr">
        <is>
          <t>RACHEL TRUJILLO</t>
        </is>
      </c>
      <c r="ML13" t="b">
        <v>0</v>
      </c>
      <c r="MM13" t="inlineStr">
        <is>
          <t>No</t>
        </is>
      </c>
      <c r="MT13">
        <v>1</v>
      </c>
      <c r="MU13" t="inlineStr">
        <is>
          <t>Any</t>
        </is>
      </c>
      <c r="NJ13">
        <v>1</v>
      </c>
      <c r="NK13" t="inlineStr">
        <is>
          <t>Airborne</t>
        </is>
      </c>
      <c r="NR13">
        <v>1</v>
      </c>
      <c r="NS13" t="inlineStr">
        <is>
          <t>Inactive</t>
        </is>
      </c>
      <c r="NT13">
        <v>2</v>
      </c>
      <c r="NU13" t="inlineStr">
        <is>
          <t>Inactive</t>
        </is>
      </c>
      <c r="NY13" t="inlineStr">
        <is>
          <t>02 9654 8318</t>
        </is>
      </c>
      <c r="OA13">
        <v>1</v>
      </c>
      <c r="OB13" t="inlineStr">
        <is>
          <t>Default Value</t>
        </is>
      </c>
      <c r="OG13">
        <v>0</v>
      </c>
      <c r="OH13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13" t="inlineStr">
        <is>
          <t>Australian Dollar</t>
        </is>
      </c>
      <c r="OL13" t="inlineStr">
        <is>
          <t>0x000000003BD0D1F7</t>
        </is>
      </c>
    </row>
    <row r="14">
      <c r="C14">
        <v>1</v>
      </c>
      <c r="D14" t="inlineStr">
        <is>
          <t>Default Value</t>
        </is>
      </c>
      <c r="E14" t="inlineStr" s="6">
        <f>HYPERLINK("https://metagenicsd365.crm6.dynamics.com/main.aspx?etn=account&amp;pagetype=entityrecord&amp;id=7e8cfdc7-b047-ef11-a316-000d3a793080","7e8cfdc7-b047-ef11-a316-000d3a793080")</f>
        <v>7e8cfdc7-b047-ef11-a316-000d3a793080</v>
      </c>
      <c r="F14" t="inlineStr">
        <is>
          <t>000000063039</t>
        </is>
      </c>
      <c r="G14">
        <v>1</v>
      </c>
      <c r="H14" t="inlineStr">
        <is>
          <t>Default Value</t>
        </is>
      </c>
      <c r="I14" t="inlineStr" s="6">
        <f>HYPERLINK("https://metagenicsd365.crm6.dynamics.com/main.aspx?etn=account&amp;pagetype=entityrecord&amp;id=18555d0f-9562-4076-96bf-2809ad066548","18555d0f-9562-4076-96bf-2809ad066548")</f>
        <v>18555d0f-9562-4076-96bf-2809ad066548</v>
      </c>
      <c r="M14" t="inlineStr">
        <is>
          <t>11 HORSMAN ROAD
QLD</t>
        </is>
      </c>
      <c r="T14" t="inlineStr">
        <is>
          <t>11 HORSMAN ROAD</t>
        </is>
      </c>
      <c r="AD14" t="inlineStr">
        <is>
          <t>QLD</t>
        </is>
      </c>
      <c r="AJ14" t="inlineStr" s="6">
        <f>HYPERLINK("https://metagenicsd365.crm6.dynamics.com/main.aspx?etn=account&amp;pagetype=entityrecord&amp;id=82619f35-5b9d-4a05-a197-2b3b63b26b8a","82619f35-5b9d-4a05-a197-2b3b63b26b8a")</f>
        <v>82619f35-5b9d-4a05-a197-2b3b63b26b8a</v>
      </c>
      <c r="AK14">
        <v>1</v>
      </c>
      <c r="AL14" t="inlineStr">
        <is>
          <t>Default Value</t>
        </is>
      </c>
      <c r="AN14" t="inlineStr">
        <is>
          <t>23/19 LIKALA STREET
GATE 2247*
QLD</t>
        </is>
      </c>
      <c r="AR14">
        <v>1</v>
      </c>
      <c r="AS14" t="inlineStr">
        <is>
          <t>Default Value</t>
        </is>
      </c>
      <c r="AU14" t="inlineStr">
        <is>
          <t>23/19 LIKALA STREET
GATE 2247*</t>
        </is>
      </c>
      <c r="BC14">
        <v>1</v>
      </c>
      <c r="BD14" t="inlineStr">
        <is>
          <t>Default Value</t>
        </is>
      </c>
      <c r="BE14" t="inlineStr">
        <is>
          <t>QLD</t>
        </is>
      </c>
      <c r="BU14">
        <v>1</v>
      </c>
      <c r="BV14" t="inlineStr">
        <is>
          <t>Default Value</t>
        </is>
      </c>
      <c r="BY14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14" t="inlineStr">
        <is>
          <t>SVC_D365_CE #</t>
        </is>
      </c>
      <c r="CC14" s="3">
        <v>45494.937696759262</v>
      </c>
      <c r="CF14">
        <v>0.0000</v>
      </c>
      <c r="CG14">
        <v>0.0000</v>
      </c>
      <c r="CH14" t="b">
        <v>0</v>
      </c>
      <c r="CI14" t="inlineStr">
        <is>
          <t>No</t>
        </is>
      </c>
      <c r="CJ14">
        <v>1</v>
      </c>
      <c r="CK14" t="inlineStr">
        <is>
          <t>Default Value</t>
        </is>
      </c>
      <c r="CN14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14" t="inlineStr">
        <is>
          <t>All Products Australia</t>
        </is>
      </c>
      <c r="CQ14" t="b">
        <v>0</v>
      </c>
      <c r="CR14" t="inlineStr">
        <is>
          <t>Allow</t>
        </is>
      </c>
      <c r="CS14" t="b">
        <v>0</v>
      </c>
      <c r="CT14" t="inlineStr">
        <is>
          <t>No</t>
        </is>
      </c>
      <c r="CU14" t="b">
        <v>0</v>
      </c>
      <c r="CV14" t="inlineStr">
        <is>
          <t>Allow</t>
        </is>
      </c>
      <c r="CW14" t="b">
        <v>0</v>
      </c>
      <c r="CX14" t="inlineStr">
        <is>
          <t>Allow</t>
        </is>
      </c>
      <c r="CY14" t="b">
        <v>0</v>
      </c>
      <c r="CZ14" t="inlineStr">
        <is>
          <t>Allow</t>
        </is>
      </c>
      <c r="DA14" t="b">
        <v>0</v>
      </c>
      <c r="DB14" t="inlineStr">
        <is>
          <t>Allow</t>
        </is>
      </c>
      <c r="DC14" t="b">
        <v>0</v>
      </c>
      <c r="DD14" t="inlineStr">
        <is>
          <t>Send</t>
        </is>
      </c>
      <c r="DF14" t="inlineStr">
        <is>
          <t>tia_lk@hotmail.com</t>
        </is>
      </c>
      <c r="DO14">
        <v>1.0000000000</v>
      </c>
      <c r="DQ14" t="b">
        <v>1</v>
      </c>
      <c r="DR14" t="inlineStr">
        <is>
          <t>Allow</t>
        </is>
      </c>
      <c r="EA14" t="b">
        <v>0</v>
      </c>
      <c r="EB14" t="inlineStr">
        <is>
          <t>No</t>
        </is>
      </c>
      <c r="EE14" t="b">
        <v>0</v>
      </c>
      <c r="EF14" t="inlineStr">
        <is>
          <t>No</t>
        </is>
      </c>
      <c r="EJ14" t="inlineStr">
        <is>
          <t>951850001</t>
        </is>
      </c>
      <c r="EK14" t="inlineStr">
        <is>
          <t>Practitioner</t>
        </is>
      </c>
      <c r="EL14" s="3">
        <v>45494.929525462961</v>
      </c>
      <c r="EM14" s="3">
        <v>93138.99998842593</v>
      </c>
      <c r="EO14" t="b">
        <v>1</v>
      </c>
      <c r="EP14" t="inlineStr">
        <is>
          <t>Yes</t>
        </is>
      </c>
      <c r="ES14" t="inlineStr" s="6">
        <f>HYPERLINK("https://metagenicsd365.crm6.dynamics.com/main.aspx?etn=account&amp;pagetype=entityrecord&amp;id=4b833a51-8da7-e911-a862-000d3ae10c61","4b833a51-8da7-e911-a862-000d3ae10c61")</f>
        <v>4b833a51-8da7-e911-a862-000d3ae10c61</v>
      </c>
      <c r="ET14" t="inlineStr">
        <is>
          <t>LATIESHA BYRNE</t>
        </is>
      </c>
      <c r="EU14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14" t="inlineStr">
        <is>
          <t>Australia</t>
        </is>
      </c>
      <c r="EW14">
        <v>951850003</v>
      </c>
      <c r="EX14" t="inlineStr">
        <is>
          <t>PRA01</t>
        </is>
      </c>
      <c r="EY14" t="inlineStr" s="6">
        <f>HYPERLINK("https://metagenicsd365.crm6.dynamics.com/main.aspx?etn=meta_postcode&amp;pagetype=entityrecord&amp;id=aae70c5c-b2a7-e911-a86f-000d3ae10f1f","aae70c5c-b2a7-e911-a86f-000d3ae10f1f")</f>
        <v>aae70c5c-b2a7-e911-a86f-000d3ae10f1f</v>
      </c>
      <c r="EZ14" t="inlineStr">
        <is>
          <t>4122</t>
        </is>
      </c>
      <c r="FA14" t="inlineStr" s="6">
        <f>HYPERLINK("https://metagenicsd365.crm6.dynamics.com/main.aspx?etn=meta_suburb&amp;pagetype=entityrecord&amp;id=73234d32-b3a7-e911-a873-000d3ae10cf1","73234d32-b3a7-e911-a873-000d3ae10cf1")</f>
        <v>73234d32-b3a7-e911-a873-000d3ae10cf1</v>
      </c>
      <c r="FB14" t="inlineStr">
        <is>
          <t>WISHART</t>
        </is>
      </c>
      <c r="FC14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14" t="inlineStr">
        <is>
          <t>Australia</t>
        </is>
      </c>
      <c r="FE14" t="inlineStr">
        <is>
          <t>0000000000000063039</t>
        </is>
      </c>
      <c r="FM14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14" t="inlineStr">
        <is>
          <t>Australia</t>
        </is>
      </c>
      <c r="FO14" t="b">
        <v>1</v>
      </c>
      <c r="FP14" t="inlineStr">
        <is>
          <t>Yes</t>
        </is>
      </c>
      <c r="FQ14" t="inlineStr">
        <is>
          <t>PRACS</t>
        </is>
      </c>
      <c r="FW14" t="b">
        <v>0</v>
      </c>
      <c r="FX14" t="inlineStr">
        <is>
          <t>No</t>
        </is>
      </c>
      <c r="GA14" t="inlineStr">
        <is>
          <t>ABL9967656</t>
        </is>
      </c>
      <c r="GD14">
        <v>951850000</v>
      </c>
      <c r="GE14" t="inlineStr">
        <is>
          <t>Pending</t>
        </is>
      </c>
      <c r="GF14">
        <v>0.0000</v>
      </c>
      <c r="GG14">
        <v>0.0000</v>
      </c>
      <c r="GH14" s="3">
        <v>46122.659502314818</v>
      </c>
      <c r="GI14">
        <v>1</v>
      </c>
      <c r="GJ14" t="b">
        <v>1</v>
      </c>
      <c r="GK14" t="inlineStr">
        <is>
          <t>Yes</t>
        </is>
      </c>
      <c r="GO14" s="3">
        <v>46122.659502314818</v>
      </c>
      <c r="GR14" s="3">
        <v>46122.659502314818</v>
      </c>
      <c r="GU14" s="3">
        <v>46122.659502314818</v>
      </c>
      <c r="GY14" t="inlineStr">
        <is>
          <t>000000063039</t>
        </is>
      </c>
      <c r="GZ14" t="inlineStr">
        <is>
          <t>ABL9967656</t>
        </is>
      </c>
      <c r="HB14" t="inlineStr">
        <is>
          <t>HAYLEY MACKENZIE</t>
        </is>
      </c>
      <c r="HI14">
        <v>0.0000</v>
      </c>
      <c r="HJ14">
        <v>0.0000</v>
      </c>
      <c r="HK14" s="3">
        <v>46122.659502314818</v>
      </c>
      <c r="HL14">
        <v>1</v>
      </c>
      <c r="HM14">
        <v>0.0000</v>
      </c>
      <c r="HN14">
        <v>0.0000</v>
      </c>
      <c r="HO14" s="3">
        <v>46122.659502314818</v>
      </c>
      <c r="HP14">
        <v>1</v>
      </c>
      <c r="HX14" t="inlineStr" s="6">
        <f>HYPERLINK("https://metagenicsd365.crm6.dynamics.com/main.aspx?etn=meta_paymentterm&amp;pagetype=entityrecord&amp;id=31971c9d-38ba-eb11-8236-00224817f624","31971c9d-38ba-eb11-8236-00224817f624")</f>
        <v>31971c9d-38ba-eb11-8236-00224817f624</v>
      </c>
      <c r="HY14" t="inlineStr">
        <is>
          <t>Cash</t>
        </is>
      </c>
      <c r="IC14" t="inlineStr">
        <is>
          <t>QLD</t>
        </is>
      </c>
      <c r="ID14" t="inlineStr">
        <is>
          <t>11 HORSMAN ROAD</t>
        </is>
      </c>
      <c r="IE14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14" t="inlineStr">
        <is>
          <t>Australia</t>
        </is>
      </c>
      <c r="IG14" t="inlineStr" s="6">
        <f>HYPERLINK("https://metagenicsd365.crm6.dynamics.com/main.aspx?etn=meta_postcode&amp;pagetype=entityrecord&amp;id=2cf98664-b2a7-e911-a873-000d3ae10cf1","2cf98664-b2a7-e911-a873-000d3ae10cf1")</f>
        <v>2cf98664-b2a7-e911-a873-000d3ae10cf1</v>
      </c>
      <c r="IH14" t="inlineStr">
        <is>
          <t>4370</t>
        </is>
      </c>
      <c r="II14" t="inlineStr" s="6">
        <f>HYPERLINK("https://metagenicsd365.crm6.dynamics.com/main.aspx?etn=meta_suburb&amp;pagetype=entityrecord&amp;id=d41aac57-b4a7-e911-a886-000d3ae106b8","d41aac57-b4a7-e911-a886-000d3ae106b8")</f>
        <v>d41aac57-b4a7-e911-a886-000d3ae106b8</v>
      </c>
      <c r="IJ14" t="inlineStr">
        <is>
          <t>WARWICK</t>
        </is>
      </c>
      <c r="IK14" t="inlineStr" s="6">
        <f>HYPERLINK("https://metagenicsd365.crm6.dynamics.com/main.aspx?etn=meta_postcode&amp;pagetype=entityrecord&amp;id=2cf98664-b2a7-e911-a873-000d3ae10cf1","2cf98664-b2a7-e911-a873-000d3ae10cf1")</f>
        <v>2cf98664-b2a7-e911-a873-000d3ae10cf1</v>
      </c>
      <c r="IL14" t="inlineStr">
        <is>
          <t>4370</t>
        </is>
      </c>
      <c r="IM14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14" t="inlineStr">
        <is>
          <t># HWORLD</t>
        </is>
      </c>
      <c r="IO14" t="inlineStr" s="6">
        <f>HYPERLINK("https://metagenicsd365.crm6.dynamics.com/main.aspx?etn=meta_segment&amp;pagetype=entityrecord&amp;id=44e3a56e-8030-eb11-a813-000d3ae15585","44e3a56e-8030-eb11-a813-000d3ae15585")</f>
        <v>44e3a56e-8030-eb11-a813-000d3ae15585</v>
      </c>
      <c r="IP14" t="inlineStr">
        <is>
          <t>10 - New accounts opened</t>
        </is>
      </c>
      <c r="IQ14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14" t="inlineStr">
        <is>
          <t>APH0</t>
        </is>
      </c>
      <c r="IZ14">
        <v>951850001</v>
      </c>
      <c r="JA14" t="inlineStr">
        <is>
          <t>Location</t>
        </is>
      </c>
      <c r="JE14" t="b">
        <v>0</v>
      </c>
      <c r="JF14" t="inlineStr">
        <is>
          <t>No</t>
        </is>
      </c>
      <c r="JT14">
        <v>951850001</v>
      </c>
      <c r="JU14" t="inlineStr">
        <is>
          <t>EXP - Standard Shipping</t>
        </is>
      </c>
      <c r="JY14" t="inlineStr" s="6">
        <f>HYPERLINK("https://metagenicsd365.crm6.dynamics.com/main.aspx?etn=meta_suburb&amp;pagetype=entityrecord&amp;id=d41aac57-b4a7-e911-a886-000d3ae106b8","d41aac57-b4a7-e911-a886-000d3ae106b8")</f>
        <v>d41aac57-b4a7-e911-a886-000d3ae106b8</v>
      </c>
      <c r="JZ14" t="inlineStr">
        <is>
          <t>WARWICK</t>
        </is>
      </c>
      <c r="KB14">
        <v>0.0000</v>
      </c>
      <c r="KC14">
        <v>0.0000</v>
      </c>
      <c r="KD14" s="3">
        <v>46122.659502314818</v>
      </c>
      <c r="KE14">
        <v>1</v>
      </c>
      <c r="KF14">
        <v>0.0000</v>
      </c>
      <c r="KG14">
        <v>0.0000</v>
      </c>
      <c r="KH14" s="3">
        <v>46122.659502314818</v>
      </c>
      <c r="KI14">
        <v>1</v>
      </c>
      <c r="KJ14">
        <v>0.0000</v>
      </c>
      <c r="KK14">
        <v>0.0000</v>
      </c>
      <c r="KL14" s="3">
        <v>46122.659502314818</v>
      </c>
      <c r="KM14">
        <v>1</v>
      </c>
      <c r="KN14" t="b">
        <v>0</v>
      </c>
      <c r="KO14" t="inlineStr">
        <is>
          <t>No</t>
        </is>
      </c>
      <c r="KP14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14" t="inlineStr">
        <is>
          <t>Sriganesh Subramanian</t>
        </is>
      </c>
      <c r="KT14" s="3">
        <v>46086.464791666665</v>
      </c>
      <c r="LA14" t="b">
        <v>0</v>
      </c>
      <c r="LB14" t="inlineStr">
        <is>
          <t>No</t>
        </is>
      </c>
      <c r="LH14" t="inlineStr">
        <is>
          <t>HAYLEY MACKENZIE</t>
        </is>
      </c>
      <c r="LO14">
        <v>0</v>
      </c>
      <c r="LP14" s="3">
        <v>46122.659502314818</v>
      </c>
      <c r="LQ14">
        <v>1</v>
      </c>
      <c r="LR14">
        <v>0.0000</v>
      </c>
      <c r="LS14">
        <v>0.0000</v>
      </c>
      <c r="LT14" s="3">
        <v>46122.659502314818</v>
      </c>
      <c r="LU14">
        <v>1</v>
      </c>
      <c r="LY14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14" t="inlineStr">
        <is>
          <t>Australia</t>
        </is>
      </c>
      <c r="MA14" t="inlineStr">
        <is>
          <t>team</t>
        </is>
      </c>
      <c r="MD14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14" t="inlineStr">
        <is>
          <t>Australia</t>
        </is>
      </c>
      <c r="MF14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J14" t="inlineStr" s="6">
        <f>HYPERLINK("https://metagenicsd365.crm6.dynamics.com/main.aspx?etn=account&amp;pagetype=entityrecord&amp;id=4b833a51-8da7-e911-a862-000d3ae10c61","4b833a51-8da7-e911-a862-000d3ae10c61")</f>
        <v>4b833a51-8da7-e911-a862-000d3ae10c61</v>
      </c>
      <c r="MK14" t="inlineStr">
        <is>
          <t>LATIESHA BYRNE</t>
        </is>
      </c>
      <c r="ML14" t="b">
        <v>0</v>
      </c>
      <c r="MM14" t="inlineStr">
        <is>
          <t>No</t>
        </is>
      </c>
      <c r="MT14">
        <v>1</v>
      </c>
      <c r="MU14" t="inlineStr">
        <is>
          <t>Any</t>
        </is>
      </c>
      <c r="NJ14">
        <v>1</v>
      </c>
      <c r="NK14" t="inlineStr">
        <is>
          <t>Airborne</t>
        </is>
      </c>
      <c r="NR14">
        <v>0</v>
      </c>
      <c r="NS14" t="inlineStr">
        <is>
          <t>Active</t>
        </is>
      </c>
      <c r="NT14">
        <v>1</v>
      </c>
      <c r="NU14" t="inlineStr">
        <is>
          <t>Active</t>
        </is>
      </c>
      <c r="NY14" t="inlineStr">
        <is>
          <t>0406 772 837</t>
        </is>
      </c>
      <c r="OA14">
        <v>1</v>
      </c>
      <c r="OB14" t="inlineStr">
        <is>
          <t>Default Value</t>
        </is>
      </c>
      <c r="OG14">
        <v>0</v>
      </c>
      <c r="OH14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14" t="inlineStr">
        <is>
          <t>Australian Dollar</t>
        </is>
      </c>
      <c r="OL14" t="inlineStr">
        <is>
          <t>0x000000003D8387BC</t>
        </is>
      </c>
    </row>
    <row r="15">
      <c r="C15">
        <v>1</v>
      </c>
      <c r="D15" t="inlineStr">
        <is>
          <t>Default Value</t>
        </is>
      </c>
      <c r="E15" t="inlineStr" s="6">
        <f>HYPERLINK("https://metagenicsd365.crm6.dynamics.com/main.aspx?etn=account&amp;pagetype=entityrecord&amp;id=44781127-4349-ef11-a316-000d3a793080","44781127-4349-ef11-a316-000d3a793080")</f>
        <v>44781127-4349-ef11-a316-000d3a793080</v>
      </c>
      <c r="F15" t="inlineStr">
        <is>
          <t>000001051787</t>
        </is>
      </c>
      <c r="G15">
        <v>1</v>
      </c>
      <c r="H15" t="inlineStr">
        <is>
          <t>Default Value</t>
        </is>
      </c>
      <c r="I15" t="inlineStr" s="6">
        <f>HYPERLINK("https://metagenicsd365.crm6.dynamics.com/main.aspx?etn=account&amp;pagetype=entityrecord&amp;id=bae326d6-a9f9-4cfe-b78e-f32c200e1c42","bae326d6-a9f9-4cfe-b78e-f32c200e1c42")</f>
        <v>bae326d6-a9f9-4cfe-b78e-f32c200e1c42</v>
      </c>
      <c r="M15" t="inlineStr">
        <is>
          <t>59 MAIN ROAD
TAS</t>
        </is>
      </c>
      <c r="T15" t="inlineStr">
        <is>
          <t>59 MAIN ROAD</t>
        </is>
      </c>
      <c r="AD15" t="inlineStr">
        <is>
          <t>TAS</t>
        </is>
      </c>
      <c r="AJ15" t="inlineStr" s="6">
        <f>HYPERLINK("https://metagenicsd365.crm6.dynamics.com/main.aspx?etn=account&amp;pagetype=entityrecord&amp;id=bc1d5a8e-452f-41d2-8ff5-46a5e464220d","bc1d5a8e-452f-41d2-8ff5-46a5e464220d")</f>
        <v>bc1d5a8e-452f-41d2-8ff5-46a5e464220d</v>
      </c>
      <c r="AK15">
        <v>1</v>
      </c>
      <c r="AL15" t="inlineStr">
        <is>
          <t>Default Value</t>
        </is>
      </c>
      <c r="AN15" t="inlineStr">
        <is>
          <t>59 MAIN ROAD
TAS</t>
        </is>
      </c>
      <c r="AR15">
        <v>1</v>
      </c>
      <c r="AS15" t="inlineStr">
        <is>
          <t>Default Value</t>
        </is>
      </c>
      <c r="AU15" t="inlineStr">
        <is>
          <t>59 MAIN ROAD</t>
        </is>
      </c>
      <c r="BC15">
        <v>1</v>
      </c>
      <c r="BD15" t="inlineStr">
        <is>
          <t>Default Value</t>
        </is>
      </c>
      <c r="BE15" t="inlineStr">
        <is>
          <t>TAS</t>
        </is>
      </c>
      <c r="BU15">
        <v>1</v>
      </c>
      <c r="BV15" t="inlineStr">
        <is>
          <t>Default Value</t>
        </is>
      </c>
      <c r="BW15" t="inlineStr" s="6">
        <f>HYPERLINK("https://metagenicsd365.crm6.dynamics.com/main.aspx?etn=account&amp;pagetype=entityrecord&amp;id=9db9bfb7-b1f7-ee11-a1fe-00224817f944","9db9bfb7-b1f7-ee11-a1fe-00224817f944")</f>
        <v>9db9bfb7-b1f7-ee11-a1fe-00224817f944</v>
      </c>
      <c r="BX15" t="inlineStr">
        <is>
          <t>BLOOMS THE CHEMIST HUONVILLE</t>
        </is>
      </c>
      <c r="BY15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15" t="inlineStr">
        <is>
          <t>SVC_D365_CE #</t>
        </is>
      </c>
      <c r="CC15" s="3">
        <v>45496.937789351854</v>
      </c>
      <c r="CF15">
        <v>0.0000</v>
      </c>
      <c r="CG15">
        <v>0.0000</v>
      </c>
      <c r="CH15" t="b">
        <v>0</v>
      </c>
      <c r="CI15" t="inlineStr">
        <is>
          <t>No</t>
        </is>
      </c>
      <c r="CJ15">
        <v>1</v>
      </c>
      <c r="CK15" t="inlineStr">
        <is>
          <t>Default Value</t>
        </is>
      </c>
      <c r="CN15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15" t="inlineStr">
        <is>
          <t>All Products Australia</t>
        </is>
      </c>
      <c r="CQ15" t="b">
        <v>0</v>
      </c>
      <c r="CR15" t="inlineStr">
        <is>
          <t>Allow</t>
        </is>
      </c>
      <c r="CS15" t="b">
        <v>0</v>
      </c>
      <c r="CT15" t="inlineStr">
        <is>
          <t>No</t>
        </is>
      </c>
      <c r="CU15" t="b">
        <v>0</v>
      </c>
      <c r="CV15" t="inlineStr">
        <is>
          <t>Allow</t>
        </is>
      </c>
      <c r="CW15" t="b">
        <v>0</v>
      </c>
      <c r="CX15" t="inlineStr">
        <is>
          <t>Allow</t>
        </is>
      </c>
      <c r="CY15" t="b">
        <v>0</v>
      </c>
      <c r="CZ15" t="inlineStr">
        <is>
          <t>Allow</t>
        </is>
      </c>
      <c r="DA15" t="b">
        <v>0</v>
      </c>
      <c r="DB15" t="inlineStr">
        <is>
          <t>Allow</t>
        </is>
      </c>
      <c r="DC15" t="b">
        <v>0</v>
      </c>
      <c r="DD15" t="inlineStr">
        <is>
          <t>Send</t>
        </is>
      </c>
      <c r="DF15" t="inlineStr">
        <is>
          <t>huonville@blooms.net.au</t>
        </is>
      </c>
      <c r="DO15">
        <v>1.0000000000</v>
      </c>
      <c r="DQ15" t="b">
        <v>1</v>
      </c>
      <c r="DR15" t="inlineStr">
        <is>
          <t>Allow</t>
        </is>
      </c>
      <c r="EA15" t="b">
        <v>0</v>
      </c>
      <c r="EB15" t="inlineStr">
        <is>
          <t>No</t>
        </is>
      </c>
      <c r="EE15" t="b">
        <v>0</v>
      </c>
      <c r="EF15" t="inlineStr">
        <is>
          <t>No</t>
        </is>
      </c>
      <c r="EJ15" t="inlineStr">
        <is>
          <t>951850000,951850001</t>
        </is>
      </c>
      <c r="EK15" t="inlineStr">
        <is>
          <t>Retail; Practitioner</t>
        </is>
      </c>
      <c r="EL15" s="3">
        <v>45496.9296412037</v>
      </c>
      <c r="EM15" s="3">
        <v>93138.99998842593</v>
      </c>
      <c r="EO15" t="b">
        <v>0</v>
      </c>
      <c r="EP15" t="inlineStr">
        <is>
          <t>No</t>
        </is>
      </c>
      <c r="ER15" t="inlineStr">
        <is>
          <t>https://metagenicscorpaus.sharepoint.com/:f:/s/TMsRETAIL/EqzxgknPeeVIhU2T3Tl8Mp0BlYBPOHPSDfJ8BM3umL3p-w?e=rZKppk</t>
        </is>
      </c>
      <c r="ES15" t="inlineStr" s="6">
        <f>HYPERLINK("https://metagenicsd365.crm6.dynamics.com/main.aspx?etn=account&amp;pagetype=entityrecord&amp;id=9db9bfb7-b1f7-ee11-a1fe-00224817f944","9db9bfb7-b1f7-ee11-a1fe-00224817f944")</f>
        <v>9db9bfb7-b1f7-ee11-a1fe-00224817f944</v>
      </c>
      <c r="ET15" t="inlineStr">
        <is>
          <t>BLOOMS THE CHEMIST HUONVILLE</t>
        </is>
      </c>
      <c r="EU15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15" t="inlineStr">
        <is>
          <t>Australia</t>
        </is>
      </c>
      <c r="EW15">
        <v>951850003</v>
      </c>
      <c r="EX15" t="inlineStr">
        <is>
          <t>PRA01</t>
        </is>
      </c>
      <c r="EY15" t="inlineStr" s="6">
        <f>HYPERLINK("https://metagenicsd365.crm6.dynamics.com/main.aspx?etn=meta_postcode&amp;pagetype=entityrecord&amp;id=dc5bc552-b2a7-e911-a862-000d3ae10c61","dc5bc552-b2a7-e911-a862-000d3ae10c61")</f>
        <v>dc5bc552-b2a7-e911-a862-000d3ae10c61</v>
      </c>
      <c r="EZ15" t="inlineStr">
        <is>
          <t>7109</t>
        </is>
      </c>
      <c r="FA15" t="inlineStr" s="6">
        <f>HYPERLINK("https://metagenicsd365.crm6.dynamics.com/main.aspx?etn=meta_suburb&amp;pagetype=entityrecord&amp;id=ac863d86-b6a7-e911-a875-000d3ae104e7","ac863d86-b6a7-e911-a875-000d3ae104e7")</f>
        <v>ac863d86-b6a7-e911-a875-000d3ae104e7</v>
      </c>
      <c r="FB15" t="inlineStr">
        <is>
          <t>HUONVILLE</t>
        </is>
      </c>
      <c r="FC15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15" t="inlineStr">
        <is>
          <t>Australia</t>
        </is>
      </c>
      <c r="FE15" t="inlineStr">
        <is>
          <t>0000000000001051787</t>
        </is>
      </c>
      <c r="FJ15" t="inlineStr">
        <is>
          <t>Exception Report</t>
        </is>
      </c>
      <c r="FM15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15" t="inlineStr">
        <is>
          <t>Australia</t>
        </is>
      </c>
      <c r="FO15" t="b">
        <v>1</v>
      </c>
      <c r="FP15" t="inlineStr">
        <is>
          <t>Yes</t>
        </is>
      </c>
      <c r="FQ15" t="inlineStr">
        <is>
          <t>PRACS</t>
        </is>
      </c>
      <c r="FW15" t="b">
        <v>0</v>
      </c>
      <c r="FX15" t="inlineStr">
        <is>
          <t>No</t>
        </is>
      </c>
      <c r="GA15" t="inlineStr">
        <is>
          <t>ABL9991242</t>
        </is>
      </c>
      <c r="GB15" t="inlineStr" s="6">
        <f>HYPERLINK("https://metagenicsd365.crm6.dynamics.com/main.aspx?etn=meta_group&amp;pagetype=entityrecord&amp;id=256cfef6-b1a7-e911-a873-000d3ae10139","256cfef6-b1a7-e911-a873-000d3ae10139")</f>
        <v>256cfef6-b1a7-e911-a873-000d3ae10139</v>
      </c>
      <c r="GC15" t="inlineStr">
        <is>
          <t>Blooms The Chemist</t>
        </is>
      </c>
      <c r="GD15">
        <v>951850000</v>
      </c>
      <c r="GE15" t="inlineStr">
        <is>
          <t>Pending</t>
        </is>
      </c>
      <c r="GF15">
        <v>0.0000</v>
      </c>
      <c r="GG15">
        <v>0.0000</v>
      </c>
      <c r="GH15" s="3">
        <v>46122.659502314818</v>
      </c>
      <c r="GI15">
        <v>1</v>
      </c>
      <c r="GJ15" t="b">
        <v>1</v>
      </c>
      <c r="GK15" t="inlineStr">
        <is>
          <t>Yes</t>
        </is>
      </c>
      <c r="GL15" t="b">
        <v>1</v>
      </c>
      <c r="GM15" t="inlineStr">
        <is>
          <t>Yes</t>
        </is>
      </c>
      <c r="GO15" s="3">
        <v>46122.659502314818</v>
      </c>
      <c r="GR15" s="3">
        <v>46122.659502314818</v>
      </c>
      <c r="GU15" s="3">
        <v>46122.659502314818</v>
      </c>
      <c r="GY15" t="inlineStr">
        <is>
          <t>000001051787</t>
        </is>
      </c>
      <c r="GZ15" t="inlineStr">
        <is>
          <t>000000000013539</t>
        </is>
      </c>
      <c r="HB15" t="inlineStr">
        <is>
          <t>BLOOMS THE CHEMIST HUONVILLE  13539 (13539)</t>
        </is>
      </c>
      <c r="HI15">
        <v>0.0000</v>
      </c>
      <c r="HJ15">
        <v>0.0000</v>
      </c>
      <c r="HK15" s="3">
        <v>46122.659502314818</v>
      </c>
      <c r="HL15">
        <v>1</v>
      </c>
      <c r="HM15">
        <v>0.0000</v>
      </c>
      <c r="HN15">
        <v>0.0000</v>
      </c>
      <c r="HO15" s="3">
        <v>46122.659502314818</v>
      </c>
      <c r="HP15">
        <v>1</v>
      </c>
      <c r="HX15" t="inlineStr" s="6">
        <f>HYPERLINK("https://metagenicsd365.crm6.dynamics.com/main.aspx?etn=meta_paymentterm&amp;pagetype=entityrecord&amp;id=0768c959-38ba-eb11-8236-00224817f624","0768c959-38ba-eb11-8236-00224817f624")</f>
        <v>0768c959-38ba-eb11-8236-00224817f624</v>
      </c>
      <c r="HY15" t="inlineStr">
        <is>
          <t>Net 30 Days End of Month</t>
        </is>
      </c>
      <c r="IC15" t="inlineStr">
        <is>
          <t>TAS</t>
        </is>
      </c>
      <c r="ID15" t="inlineStr">
        <is>
          <t>59 MAIN ROAD</t>
        </is>
      </c>
      <c r="IE15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15" t="inlineStr">
        <is>
          <t>Australia</t>
        </is>
      </c>
      <c r="IG15" t="inlineStr" s="6">
        <f>HYPERLINK("https://metagenicsd365.crm6.dynamics.com/main.aspx?etn=meta_postcode&amp;pagetype=entityrecord&amp;id=dc5bc552-b2a7-e911-a862-000d3ae10c61","dc5bc552-b2a7-e911-a862-000d3ae10c61")</f>
        <v>dc5bc552-b2a7-e911-a862-000d3ae10c61</v>
      </c>
      <c r="IH15" t="inlineStr">
        <is>
          <t>7109</t>
        </is>
      </c>
      <c r="II15" t="inlineStr" s="6">
        <f>HYPERLINK("https://metagenicsd365.crm6.dynamics.com/main.aspx?etn=meta_suburb&amp;pagetype=entityrecord&amp;id=ac863d86-b6a7-e911-a875-000d3ae104e7","ac863d86-b6a7-e911-a875-000d3ae104e7")</f>
        <v>ac863d86-b6a7-e911-a875-000d3ae104e7</v>
      </c>
      <c r="IJ15" t="inlineStr">
        <is>
          <t>HUONVILLE</t>
        </is>
      </c>
      <c r="IK15" t="inlineStr" s="6">
        <f>HYPERLINK("https://metagenicsd365.crm6.dynamics.com/main.aspx?etn=meta_postcode&amp;pagetype=entityrecord&amp;id=dc5bc552-b2a7-e911-a862-000d3ae10c61","dc5bc552-b2a7-e911-a862-000d3ae10c61")</f>
        <v>dc5bc552-b2a7-e911-a862-000d3ae10c61</v>
      </c>
      <c r="IL15" t="inlineStr">
        <is>
          <t>7109</t>
        </is>
      </c>
      <c r="IM15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15" t="inlineStr">
        <is>
          <t># HWORLD</t>
        </is>
      </c>
      <c r="IO15" t="inlineStr" s="6">
        <f>HYPERLINK("https://metagenicsd365.crm6.dynamics.com/main.aspx?etn=meta_segment&amp;pagetype=entityrecord&amp;id=e31c2e46-c9d1-ed11-a7c7-00224818a8ea","e31c2e46-c9d1-ed11-a7c7-00224818a8ea")</f>
        <v>e31c2e46-c9d1-ed11-a7c7-00224818a8ea</v>
      </c>
      <c r="IP15" t="inlineStr">
        <is>
          <t>Duplicates</t>
        </is>
      </c>
      <c r="IQ15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15" t="inlineStr">
        <is>
          <t>APH0</t>
        </is>
      </c>
      <c r="IZ15">
        <v>951850001</v>
      </c>
      <c r="JA15" t="inlineStr">
        <is>
          <t>Location</t>
        </is>
      </c>
      <c r="JE15" t="b">
        <v>0</v>
      </c>
      <c r="JF15" t="inlineStr">
        <is>
          <t>No</t>
        </is>
      </c>
      <c r="JI15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JJ15" t="inlineStr">
        <is>
          <t># HWORLD</t>
        </is>
      </c>
      <c r="JK15" t="inlineStr" s="6">
        <f>HYPERLINK("https://metagenicsd365.crm6.dynamics.com/main.aspx?etn=meta_segment&amp;pagetype=entityrecord&amp;id=e31c2e46-c9d1-ed11-a7c7-00224818a8ea","e31c2e46-c9d1-ed11-a7c7-00224818a8ea")</f>
        <v>e31c2e46-c9d1-ed11-a7c7-00224818a8ea</v>
      </c>
      <c r="JL15" t="inlineStr">
        <is>
          <t>Duplicates</t>
        </is>
      </c>
      <c r="JM15" t="inlineStr" s="6">
        <f>HYPERLINK("https://metagenicsd365.crm6.dynamics.com/main.aspx?etn=territory&amp;pagetype=entityrecord&amp;id=c64322e5-8030-eb11-a813-000d3ae15585","c64322e5-8030-eb11-a813-000d3ae15585")</f>
        <v>c64322e5-8030-eb11-a813-000d3ae15585</v>
      </c>
      <c r="JN15" t="inlineStr">
        <is>
          <t>ARH0</t>
        </is>
      </c>
      <c r="JT15">
        <v>951850002</v>
      </c>
      <c r="JU15" t="inlineStr">
        <is>
          <t>PRM - Priority Shipping</t>
        </is>
      </c>
      <c r="JY15" t="inlineStr" s="6">
        <f>HYPERLINK("https://metagenicsd365.crm6.dynamics.com/main.aspx?etn=meta_suburb&amp;pagetype=entityrecord&amp;id=ac863d86-b6a7-e911-a875-000d3ae104e7","ac863d86-b6a7-e911-a875-000d3ae104e7")</f>
        <v>ac863d86-b6a7-e911-a875-000d3ae104e7</v>
      </c>
      <c r="JZ15" t="inlineStr">
        <is>
          <t>HUONVILLE</t>
        </is>
      </c>
      <c r="KA15" t="inlineStr">
        <is>
          <t>Yes</t>
        </is>
      </c>
      <c r="KB15">
        <v>0.0000</v>
      </c>
      <c r="KC15">
        <v>0.0000</v>
      </c>
      <c r="KD15" s="3">
        <v>46122.659502314818</v>
      </c>
      <c r="KE15">
        <v>1</v>
      </c>
      <c r="KF15">
        <v>0.0000</v>
      </c>
      <c r="KG15">
        <v>0.0000</v>
      </c>
      <c r="KH15" s="3">
        <v>46122.659502314818</v>
      </c>
      <c r="KI15">
        <v>1</v>
      </c>
      <c r="KJ15">
        <v>0.0000</v>
      </c>
      <c r="KK15">
        <v>0.0000</v>
      </c>
      <c r="KL15" s="3">
        <v>46122.659502314818</v>
      </c>
      <c r="KM15">
        <v>1</v>
      </c>
      <c r="KN15" t="b">
        <v>0</v>
      </c>
      <c r="KO15" t="inlineStr">
        <is>
          <t>No</t>
        </is>
      </c>
      <c r="KP15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15" t="inlineStr">
        <is>
          <t>Sriganesh Subramanian</t>
        </is>
      </c>
      <c r="KT15" s="3">
        <v>46086.458043981482</v>
      </c>
      <c r="LA15" t="b">
        <v>0</v>
      </c>
      <c r="LB15" t="inlineStr">
        <is>
          <t>No</t>
        </is>
      </c>
      <c r="LH15" t="inlineStr">
        <is>
          <t>BLOOMS THE CHEMIST HUONVILLE  13539 (13539)</t>
        </is>
      </c>
      <c r="LO15">
        <v>0</v>
      </c>
      <c r="LP15" s="3">
        <v>46122.659502314818</v>
      </c>
      <c r="LQ15">
        <v>1</v>
      </c>
      <c r="LR15">
        <v>0.0000</v>
      </c>
      <c r="LS15">
        <v>0.0000</v>
      </c>
      <c r="LT15" s="3">
        <v>46122.659502314818</v>
      </c>
      <c r="LU15">
        <v>1</v>
      </c>
      <c r="LY15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15" t="inlineStr">
        <is>
          <t>Australia</t>
        </is>
      </c>
      <c r="MA15" t="inlineStr">
        <is>
          <t>team</t>
        </is>
      </c>
      <c r="MD15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15" t="inlineStr">
        <is>
          <t>Australia</t>
        </is>
      </c>
      <c r="MF15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J15" t="inlineStr" s="6">
        <f>HYPERLINK("https://metagenicsd365.crm6.dynamics.com/main.aspx?etn=account&amp;pagetype=entityrecord&amp;id=9db9bfb7-b1f7-ee11-a1fe-00224817f944","9db9bfb7-b1f7-ee11-a1fe-00224817f944")</f>
        <v>9db9bfb7-b1f7-ee11-a1fe-00224817f944</v>
      </c>
      <c r="MK15" t="inlineStr">
        <is>
          <t>BLOOMS THE CHEMIST HUONVILLE</t>
        </is>
      </c>
      <c r="ML15" t="b">
        <v>0</v>
      </c>
      <c r="MM15" t="inlineStr">
        <is>
          <t>No</t>
        </is>
      </c>
      <c r="MT15">
        <v>1</v>
      </c>
      <c r="MU15" t="inlineStr">
        <is>
          <t>Any</t>
        </is>
      </c>
      <c r="NJ15">
        <v>1</v>
      </c>
      <c r="NK15" t="inlineStr">
        <is>
          <t>Airborne</t>
        </is>
      </c>
      <c r="NR15">
        <v>0</v>
      </c>
      <c r="NS15" t="inlineStr">
        <is>
          <t>Active</t>
        </is>
      </c>
      <c r="NT15">
        <v>1</v>
      </c>
      <c r="NU15" t="inlineStr">
        <is>
          <t>Active</t>
        </is>
      </c>
      <c r="NY15" t="inlineStr">
        <is>
          <t>03 6264 1196</t>
        </is>
      </c>
      <c r="OA15">
        <v>1</v>
      </c>
      <c r="OB15" t="inlineStr">
        <is>
          <t>Default Value</t>
        </is>
      </c>
      <c r="OG15">
        <v>0</v>
      </c>
      <c r="OH15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15" t="inlineStr">
        <is>
          <t>Australian Dollar</t>
        </is>
      </c>
      <c r="OL15" t="inlineStr">
        <is>
          <t>0x000000003D837121</t>
        </is>
      </c>
    </row>
    <row r="16">
      <c r="C16">
        <v>1</v>
      </c>
      <c r="D16" t="inlineStr">
        <is>
          <t>Default Value</t>
        </is>
      </c>
      <c r="E16" t="inlineStr" s="6">
        <f>HYPERLINK("https://metagenicsd365.crm6.dynamics.com/main.aspx?etn=account&amp;pagetype=entityrecord&amp;id=9290c934-4549-ef11-a316-000d3a793080","9290c934-4549-ef11-a316-000d3a793080")</f>
        <v>9290c934-4549-ef11-a316-000d3a793080</v>
      </c>
      <c r="F16" t="inlineStr">
        <is>
          <t>NZ19393</t>
        </is>
      </c>
      <c r="G16">
        <v>1</v>
      </c>
      <c r="H16" t="inlineStr">
        <is>
          <t>Default Value</t>
        </is>
      </c>
      <c r="I16" t="inlineStr" s="6">
        <f>HYPERLINK("https://metagenicsd365.crm6.dynamics.com/main.aspx?etn=account&amp;pagetype=entityrecord&amp;id=97ada9f0-9aed-42e6-9438-7ae97b88ee8a","97ada9f0-9aed-42e6-9438-7ae97b88ee8a")</f>
        <v>97ada9f0-9aed-42e6-9438-7ae97b88ee8a</v>
      </c>
      <c r="L16" t="inlineStr">
        <is>
          <t>/meta_suburbs(9fa918e1-b6a7-e911-a873-000d3ae10139)</t>
        </is>
      </c>
      <c r="M16" t="inlineStr">
        <is>
          <t>110 CLEVEDON ROAD
/meta_suburbs(9fa918e1-b6a7-e911-a873-000d3ae10139)</t>
        </is>
      </c>
      <c r="T16" t="inlineStr">
        <is>
          <t>110 CLEVEDON ROAD</t>
        </is>
      </c>
      <c r="AE16" t="inlineStr">
        <is>
          <t>0204 1623 537</t>
        </is>
      </c>
      <c r="AJ16" t="inlineStr" s="6">
        <f>HYPERLINK("https://metagenicsd365.crm6.dynamics.com/main.aspx?etn=account&amp;pagetype=entityrecord&amp;id=d5a7d641-77ac-42ab-8b66-bd8d5c8bbb87","d5a7d641-77ac-42ab-8b66-bd8d5c8bbb87")</f>
        <v>d5a7d641-77ac-42ab-8b66-bd8d5c8bbb87</v>
      </c>
      <c r="AK16">
        <v>1</v>
      </c>
      <c r="AL16" t="inlineStr">
        <is>
          <t>Default Value</t>
        </is>
      </c>
      <c r="AM16" t="inlineStr">
        <is>
          <t>/meta_suburbs(9fa918e1-b6a7-e911-a873-000d3ae10139)</t>
        </is>
      </c>
      <c r="AN16" t="inlineStr">
        <is>
          <t>110 CLEVEDON ROAD
/meta_suburbs(9fa918e1-b6a7-e911-a873-000d3ae10139)</t>
        </is>
      </c>
      <c r="AR16">
        <v>1</v>
      </c>
      <c r="AS16" t="inlineStr">
        <is>
          <t>Default Value</t>
        </is>
      </c>
      <c r="AU16" t="inlineStr">
        <is>
          <t>110 CLEVEDON ROAD</t>
        </is>
      </c>
      <c r="BC16">
        <v>1</v>
      </c>
      <c r="BD16" t="inlineStr">
        <is>
          <t>Default Value</t>
        </is>
      </c>
      <c r="BU16">
        <v>1</v>
      </c>
      <c r="BV16" t="inlineStr">
        <is>
          <t>Default Value</t>
        </is>
      </c>
      <c r="BY16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16" t="inlineStr">
        <is>
          <t>SVC_D365_CE #</t>
        </is>
      </c>
      <c r="CC16" s="3">
        <v>45496.94804398148</v>
      </c>
      <c r="CH16" t="b">
        <v>0</v>
      </c>
      <c r="CI16" t="inlineStr">
        <is>
          <t>No</t>
        </is>
      </c>
      <c r="CJ16">
        <v>1</v>
      </c>
      <c r="CK16" t="inlineStr">
        <is>
          <t>Default Value</t>
        </is>
      </c>
      <c r="CN16" t="inlineStr" s="6">
        <f>HYPERLINK("https://metagenicsd365.crm6.dynamics.com/main.aspx?etn=pricelevel&amp;pagetype=entityrecord&amp;id=dd1fe895-6aa7-e911-a886-000d3ae106b8","dd1fe895-6aa7-e911-a886-000d3ae106b8")</f>
        <v>dd1fe895-6aa7-e911-a886-000d3ae106b8</v>
      </c>
      <c r="CO16" t="inlineStr">
        <is>
          <t>All Products New Zealand</t>
        </is>
      </c>
      <c r="CQ16" t="b">
        <v>0</v>
      </c>
      <c r="CR16" t="inlineStr">
        <is>
          <t>Allow</t>
        </is>
      </c>
      <c r="CS16" t="b">
        <v>0</v>
      </c>
      <c r="CT16" t="inlineStr">
        <is>
          <t>No</t>
        </is>
      </c>
      <c r="CU16" t="b">
        <v>0</v>
      </c>
      <c r="CV16" t="inlineStr">
        <is>
          <t>Allow</t>
        </is>
      </c>
      <c r="CW16" t="b">
        <v>0</v>
      </c>
      <c r="CX16" t="inlineStr">
        <is>
          <t>Allow</t>
        </is>
      </c>
      <c r="CY16" t="b">
        <v>0</v>
      </c>
      <c r="CZ16" t="inlineStr">
        <is>
          <t>Allow</t>
        </is>
      </c>
      <c r="DA16" t="b">
        <v>0</v>
      </c>
      <c r="DB16" t="inlineStr">
        <is>
          <t>Allow</t>
        </is>
      </c>
      <c r="DC16" t="b">
        <v>0</v>
      </c>
      <c r="DD16" t="inlineStr">
        <is>
          <t>Send</t>
        </is>
      </c>
      <c r="DE16" t="inlineStr">
        <is>
          <t>info@corechiropractic.co.nz</t>
        </is>
      </c>
      <c r="DF16" t="inlineStr">
        <is>
          <t>info@corechiropractic.co.nz</t>
        </is>
      </c>
      <c r="DO16">
        <v>1.1000000000</v>
      </c>
      <c r="DQ16" t="b">
        <v>1</v>
      </c>
      <c r="DR16" t="inlineStr">
        <is>
          <t>Allow</t>
        </is>
      </c>
      <c r="EA16" t="b">
        <v>0</v>
      </c>
      <c r="EB16" t="inlineStr">
        <is>
          <t>No</t>
        </is>
      </c>
      <c r="EE16" t="b">
        <v>0</v>
      </c>
      <c r="EF16" t="inlineStr">
        <is>
          <t>No</t>
        </is>
      </c>
      <c r="EG16" t="inlineStr">
        <is>
          <t>No</t>
        </is>
      </c>
      <c r="EJ16" t="inlineStr">
        <is>
          <t>951850001</t>
        </is>
      </c>
      <c r="EK16" t="inlineStr">
        <is>
          <t>Practitioner</t>
        </is>
      </c>
      <c r="EN16" t="inlineStr">
        <is>
          <t>PRAC</t>
        </is>
      </c>
      <c r="EO16" t="b">
        <v>0</v>
      </c>
      <c r="EP16" t="inlineStr">
        <is>
          <t>No</t>
        </is>
      </c>
      <c r="EQ16" t="inlineStr">
        <is>
          <t>No</t>
        </is>
      </c>
      <c r="EU16" t="inlineStr" s="6">
        <f>HYPERLINK("https://metagenicsd365.crm6.dynamics.com/main.aspx?etn=meta_country&amp;pagetype=entityrecord&amp;id=b5015a9c-41a7-e911-a86f-000d3ae10f1f","b5015a9c-41a7-e911-a86f-000d3ae10f1f")</f>
        <v>b5015a9c-41a7-e911-a86f-000d3ae10f1f</v>
      </c>
      <c r="EV16" t="inlineStr">
        <is>
          <t>New Zealand</t>
        </is>
      </c>
      <c r="EW16">
        <v>951850003</v>
      </c>
      <c r="EX16" t="inlineStr">
        <is>
          <t>PRA01</t>
        </is>
      </c>
      <c r="EY16" t="inlineStr" s="6">
        <f>HYPERLINK("https://metagenicsd365.crm6.dynamics.com/main.aspx?etn=meta_postcode&amp;pagetype=entityrecord&amp;id=855ead81-b2a7-e911-a875-000d3ae104e7","855ead81-b2a7-e911-a875-000d3ae104e7")</f>
        <v>855ead81-b2a7-e911-a875-000d3ae104e7</v>
      </c>
      <c r="EZ16" t="inlineStr">
        <is>
          <t>2110</t>
        </is>
      </c>
      <c r="FA16" t="inlineStr" s="6">
        <f>HYPERLINK("https://metagenicsd365.crm6.dynamics.com/main.aspx?etn=meta_suburb&amp;pagetype=entityrecord&amp;id=9fa918e1-b6a7-e911-a873-000d3ae10139","9fa918e1-b6a7-e911-a873-000d3ae10139")</f>
        <v>9fa918e1-b6a7-e911-a873-000d3ae10139</v>
      </c>
      <c r="FB16" t="inlineStr">
        <is>
          <t>PAPAKURA</t>
        </is>
      </c>
      <c r="FC16" t="inlineStr" s="6">
        <f>HYPERLINK("https://metagenicsd365.crm6.dynamics.com/main.aspx?etn=businessunit&amp;pagetype=entityrecord&amp;id=185d6825-ff84-e811-a95f-000d3ae058f0","185d6825-ff84-e811-a95f-000d3ae058f0")</f>
        <v>185d6825-ff84-e811-a95f-000d3ae058f0</v>
      </c>
      <c r="FD16" t="inlineStr">
        <is>
          <t>New Zealand</t>
        </is>
      </c>
      <c r="FE16" t="inlineStr">
        <is>
          <t>0000000NZ19393</t>
        </is>
      </c>
      <c r="FM16" t="inlineStr" s="6">
        <f>HYPERLINK("https://metagenicsd365.crm6.dynamics.com/main.aspx?etn=meta_country&amp;pagetype=entityrecord&amp;id=b5015a9c-41a7-e911-a86f-000d3ae10f1f","b5015a9c-41a7-e911-a86f-000d3ae10f1f")</f>
        <v>b5015a9c-41a7-e911-a86f-000d3ae10f1f</v>
      </c>
      <c r="FN16" t="inlineStr">
        <is>
          <t>New Zealand</t>
        </is>
      </c>
      <c r="FO16" t="b">
        <v>1</v>
      </c>
      <c r="FP16" t="inlineStr">
        <is>
          <t>Yes</t>
        </is>
      </c>
      <c r="FQ16" t="inlineStr">
        <is>
          <t>PRACS</t>
        </is>
      </c>
      <c r="FW16" t="b">
        <v>0</v>
      </c>
      <c r="FX16" t="inlineStr">
        <is>
          <t>No</t>
        </is>
      </c>
      <c r="GA16" t="inlineStr">
        <is>
          <t>ABL9991551</t>
        </is>
      </c>
      <c r="GD16">
        <v>951850000</v>
      </c>
      <c r="GE16" t="inlineStr">
        <is>
          <t>Pending</t>
        </is>
      </c>
      <c r="GF16">
        <v>0.0000</v>
      </c>
      <c r="GG16">
        <v>0.0000</v>
      </c>
      <c r="GH16" s="3">
        <v>46122.659502314818</v>
      </c>
      <c r="GI16">
        <v>1</v>
      </c>
      <c r="GJ16" t="b">
        <v>1</v>
      </c>
      <c r="GK16" t="inlineStr">
        <is>
          <t>Yes</t>
        </is>
      </c>
      <c r="GO16" s="3">
        <v>46122.659502314818</v>
      </c>
      <c r="GR16" s="3">
        <v>46122.659502314818</v>
      </c>
      <c r="GU16" s="3">
        <v>46122.659502314818</v>
      </c>
      <c r="GY16" t="inlineStr">
        <is>
          <t>NZ19393</t>
        </is>
      </c>
      <c r="HB16" t="inlineStr">
        <is>
          <t>CORE CHIROPRACTIC</t>
        </is>
      </c>
      <c r="HI16">
        <v>0.0000</v>
      </c>
      <c r="HK16" s="3">
        <v>46122.659502314818</v>
      </c>
      <c r="HL16">
        <v>1</v>
      </c>
      <c r="HM16">
        <v>0.0000</v>
      </c>
      <c r="HN16">
        <v>0.0000</v>
      </c>
      <c r="HO16" s="3">
        <v>46122.659502314818</v>
      </c>
      <c r="HP16">
        <v>1</v>
      </c>
      <c r="HX16" t="inlineStr" s="6">
        <f>HYPERLINK("https://metagenicsd365.crm6.dynamics.com/main.aspx?etn=meta_paymentterm&amp;pagetype=entityrecord&amp;id=884d37f0-37ba-eb11-8236-00224817f624","884d37f0-37ba-eb11-8236-00224817f624")</f>
        <v>884d37f0-37ba-eb11-8236-00224817f624</v>
      </c>
      <c r="HY16" t="inlineStr">
        <is>
          <t>Net 20 Days End of Month</t>
        </is>
      </c>
      <c r="ID16" t="inlineStr">
        <is>
          <t>110 CLEVEDON ROAD</t>
        </is>
      </c>
      <c r="IE16" t="inlineStr" s="6">
        <f>HYPERLINK("https://metagenicsd365.crm6.dynamics.com/main.aspx?etn=meta_country&amp;pagetype=entityrecord&amp;id=b5015a9c-41a7-e911-a86f-000d3ae10f1f","b5015a9c-41a7-e911-a86f-000d3ae10f1f")</f>
        <v>b5015a9c-41a7-e911-a86f-000d3ae10f1f</v>
      </c>
      <c r="IF16" t="inlineStr">
        <is>
          <t>New Zealand</t>
        </is>
      </c>
      <c r="IG16" t="inlineStr" s="6">
        <f>HYPERLINK("https://metagenicsd365.crm6.dynamics.com/main.aspx?etn=meta_postcode&amp;pagetype=entityrecord&amp;id=855ead81-b2a7-e911-a875-000d3ae104e7","855ead81-b2a7-e911-a875-000d3ae104e7")</f>
        <v>855ead81-b2a7-e911-a875-000d3ae104e7</v>
      </c>
      <c r="IH16" t="inlineStr">
        <is>
          <t>2110</t>
        </is>
      </c>
      <c r="II16" t="inlineStr" s="6">
        <f>HYPERLINK("https://metagenicsd365.crm6.dynamics.com/main.aspx?etn=meta_suburb&amp;pagetype=entityrecord&amp;id=9fa918e1-b6a7-e911-a873-000d3ae10139","9fa918e1-b6a7-e911-a873-000d3ae10139")</f>
        <v>9fa918e1-b6a7-e911-a873-000d3ae10139</v>
      </c>
      <c r="IJ16" t="inlineStr">
        <is>
          <t>PAPAKURA</t>
        </is>
      </c>
      <c r="IK16" t="inlineStr" s="6">
        <f>HYPERLINK("https://metagenicsd365.crm6.dynamics.com/main.aspx?etn=meta_postcode&amp;pagetype=entityrecord&amp;id=855ead81-b2a7-e911-a875-000d3ae104e7","855ead81-b2a7-e911-a875-000d3ae104e7")</f>
        <v>855ead81-b2a7-e911-a875-000d3ae104e7</v>
      </c>
      <c r="IL16" t="inlineStr">
        <is>
          <t>2110</t>
        </is>
      </c>
      <c r="IM16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16" t="inlineStr">
        <is>
          <t># HWORLD</t>
        </is>
      </c>
      <c r="IO16" t="inlineStr" s="6">
        <f>HYPERLINK("https://metagenicsd365.crm6.dynamics.com/main.aspx?etn=meta_segment&amp;pagetype=entityrecord&amp;id=2a502c7c-0340-f011-8779-6045bd40364e","2a502c7c-0340-f011-8779-6045bd40364e")</f>
        <v>2a502c7c-0340-f011-8779-6045bd40364e</v>
      </c>
      <c r="IP16" t="inlineStr">
        <is>
          <t>21 - Outbound Practitioner Head Office Contact</t>
        </is>
      </c>
      <c r="IQ16" t="inlineStr" s="6">
        <f>HYPERLINK("https://metagenicsd365.crm6.dynamics.com/main.aspx?etn=territory&amp;pagetype=entityrecord&amp;id=c74322e5-8030-eb11-a813-000d3ae15585","c74322e5-8030-eb11-a813-000d3ae15585")</f>
        <v>c74322e5-8030-eb11-a813-000d3ae15585</v>
      </c>
      <c r="IR16" t="inlineStr">
        <is>
          <t>NPH0</t>
        </is>
      </c>
      <c r="IW16" t="inlineStr" s="6">
        <f>HYPERLINK("https://metagenicsd365.crm6.dynamics.com/main.aspx?etn=meta_modality&amp;pagetype=entityrecord&amp;id=97016278-42a7-e911-a86f-000d3ae10f1f","97016278-42a7-e911-a86f-000d3ae10f1f")</f>
        <v>97016278-42a7-e911-a86f-000d3ae10f1f</v>
      </c>
      <c r="IX16" t="inlineStr">
        <is>
          <t>Chiropractor</t>
        </is>
      </c>
      <c r="IZ16">
        <v>951850000</v>
      </c>
      <c r="JA16" t="inlineStr">
        <is>
          <t>Billing</t>
        </is>
      </c>
      <c r="JE16" t="b">
        <v>0</v>
      </c>
      <c r="JF16" t="inlineStr">
        <is>
          <t>No</t>
        </is>
      </c>
      <c r="JT16">
        <v>803920000</v>
      </c>
      <c r="JU16" t="inlineStr">
        <is>
          <t>CP</t>
        </is>
      </c>
      <c r="JY16" t="inlineStr" s="6">
        <f>HYPERLINK("https://metagenicsd365.crm6.dynamics.com/main.aspx?etn=meta_suburb&amp;pagetype=entityrecord&amp;id=9fa918e1-b6a7-e911-a873-000d3ae10139","9fa918e1-b6a7-e911-a873-000d3ae10139")</f>
        <v>9fa918e1-b6a7-e911-a873-000d3ae10139</v>
      </c>
      <c r="JZ16" t="inlineStr">
        <is>
          <t>PAPAKURA</t>
        </is>
      </c>
      <c r="KB16">
        <v>0.0000</v>
      </c>
      <c r="KD16" s="3">
        <v>46122.659502314818</v>
      </c>
      <c r="KE16">
        <v>1</v>
      </c>
      <c r="KF16">
        <v>0.0000</v>
      </c>
      <c r="KG16">
        <v>0.0000</v>
      </c>
      <c r="KH16" s="3">
        <v>46122.659502314818</v>
      </c>
      <c r="KI16">
        <v>1</v>
      </c>
      <c r="KJ16">
        <v>0.0000</v>
      </c>
      <c r="KK16">
        <v>0.0000</v>
      </c>
      <c r="KL16" s="3">
        <v>46122.659502314818</v>
      </c>
      <c r="KM16">
        <v>1</v>
      </c>
      <c r="KN16" t="b">
        <v>0</v>
      </c>
      <c r="KO16" t="inlineStr">
        <is>
          <t>No</t>
        </is>
      </c>
      <c r="KP16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16" t="inlineStr">
        <is>
          <t>Sriganesh Subramanian</t>
        </is>
      </c>
      <c r="KT16" s="3">
        <v>46086.421666666669</v>
      </c>
      <c r="LA16" t="b">
        <v>0</v>
      </c>
      <c r="LB16" t="inlineStr">
        <is>
          <t>No</t>
        </is>
      </c>
      <c r="LH16" t="inlineStr">
        <is>
          <t>CORE CHIROPRACTIC</t>
        </is>
      </c>
      <c r="LO16">
        <v>0</v>
      </c>
      <c r="LP16" s="3">
        <v>46122.659502314818</v>
      </c>
      <c r="LQ16">
        <v>1</v>
      </c>
      <c r="LR16">
        <v>0.0000</v>
      </c>
      <c r="LS16">
        <v>0.0000</v>
      </c>
      <c r="LT16" s="3">
        <v>46122.659502314818</v>
      </c>
      <c r="LU16">
        <v>1</v>
      </c>
      <c r="LY16" t="inlineStr" s="6">
        <f>HYPERLINK("https://metagenicsd365.crm6.dynamics.com/main.aspx?etn=team&amp;pagetype=entityrecord&amp;id=195d6825-ff84-e811-a95f-000d3ae058f0","195d6825-ff84-e811-a95f-000d3ae058f0")</f>
        <v>195d6825-ff84-e811-a95f-000d3ae058f0</v>
      </c>
      <c r="LZ16" t="inlineStr">
        <is>
          <t>New Zealand</t>
        </is>
      </c>
      <c r="MA16" t="inlineStr">
        <is>
          <t>team</t>
        </is>
      </c>
      <c r="MD16" t="inlineStr" s="6">
        <f>HYPERLINK("https://metagenicsd365.crm6.dynamics.com/main.aspx?etn=businessunit&amp;pagetype=entityrecord&amp;id=185d6825-ff84-e811-a95f-000d3ae058f0","185d6825-ff84-e811-a95f-000d3ae058f0")</f>
        <v>185d6825-ff84-e811-a95f-000d3ae058f0</v>
      </c>
      <c r="ME16" t="inlineStr">
        <is>
          <t>New Zealand</t>
        </is>
      </c>
      <c r="MF16" t="inlineStr" s="6">
        <f>HYPERLINK("https://metagenicsd365.crm6.dynamics.com/main.aspx?etn=team&amp;pagetype=entityrecord&amp;id=195d6825-ff84-e811-a95f-000d3ae058f0","195d6825-ff84-e811-a95f-000d3ae058f0")</f>
        <v>195d6825-ff84-e811-a95f-000d3ae058f0</v>
      </c>
      <c r="ML16" t="b">
        <v>0</v>
      </c>
      <c r="MM16" t="inlineStr">
        <is>
          <t>No</t>
        </is>
      </c>
      <c r="MT16">
        <v>1</v>
      </c>
      <c r="MU16" t="inlineStr">
        <is>
          <t>Any</t>
        </is>
      </c>
      <c r="NB16" t="inlineStr" s="6">
        <f>HYPERLINK("https://metagenicsd365.crm6.dynamics.com/main.aspx?etn=contact&amp;pagetype=entityrecord&amp;id=06360136-4549-ef11-a316-002248e17fe9","06360136-4549-ef11-a316-002248e17fe9")</f>
        <v>06360136-4549-ef11-a316-002248e17fe9</v>
      </c>
      <c r="NC16" t="inlineStr">
        <is>
          <t>PRIYA SINGH CHIROPRACTOR</t>
        </is>
      </c>
      <c r="NJ16">
        <v>1</v>
      </c>
      <c r="NK16" t="inlineStr">
        <is>
          <t>Airborne</t>
        </is>
      </c>
      <c r="NR16">
        <v>0</v>
      </c>
      <c r="NS16" t="inlineStr">
        <is>
          <t>Active</t>
        </is>
      </c>
      <c r="NT16">
        <v>1</v>
      </c>
      <c r="NU16" t="inlineStr">
        <is>
          <t>Active</t>
        </is>
      </c>
      <c r="NX16" t="inlineStr">
        <is>
          <t>0204 1623 537</t>
        </is>
      </c>
      <c r="NY16" t="inlineStr">
        <is>
          <t>0204 1623 537</t>
        </is>
      </c>
      <c r="OA16">
        <v>1</v>
      </c>
      <c r="OB16" t="inlineStr">
        <is>
          <t>Default Value</t>
        </is>
      </c>
      <c r="OH16" t="inlineStr" s="6">
        <f>HYPERLINK("https://metagenicsd365.crm6.dynamics.com/main.aspx?etn=transactioncurrency&amp;pagetype=entityrecord&amp;id=75fa7107-58cb-e811-a965-000d3ae0575b","75fa7107-58cb-e811-a965-000d3ae0575b")</f>
        <v>75fa7107-58cb-e811-a965-000d3ae0575b</v>
      </c>
      <c r="OI16" t="inlineStr">
        <is>
          <t>New Zealand Dollar</t>
        </is>
      </c>
      <c r="OL16" t="inlineStr">
        <is>
          <t>0x000000003D82FDE6</t>
        </is>
      </c>
    </row>
    <row r="17">
      <c r="C17">
        <v>1</v>
      </c>
      <c r="D17" t="inlineStr">
        <is>
          <t>Default Value</t>
        </is>
      </c>
      <c r="E17" t="inlineStr" s="6">
        <f>HYPERLINK("https://metagenicsd365.crm6.dynamics.com/main.aspx?etn=account&amp;pagetype=entityrecord&amp;id=da563677-d54a-ef11-a316-000d3a793080","da563677-d54a-ef11-a316-000d3a793080")</f>
        <v>da563677-d54a-ef11-a316-000d3a793080</v>
      </c>
      <c r="F17" t="inlineStr">
        <is>
          <t>000001059198</t>
        </is>
      </c>
      <c r="G17">
        <v>1</v>
      </c>
      <c r="H17" t="inlineStr">
        <is>
          <t>Default Value</t>
        </is>
      </c>
      <c r="I17" t="inlineStr" s="6">
        <f>HYPERLINK("https://metagenicsd365.crm6.dynamics.com/main.aspx?etn=account&amp;pagetype=entityrecord&amp;id=08a1662b-ccc0-478c-8848-4fb7cc2ec143","08a1662b-ccc0-478c-8848-4fb7cc2ec143")</f>
        <v>08a1662b-ccc0-478c-8848-4fb7cc2ec143</v>
      </c>
      <c r="M17" t="inlineStr">
        <is>
          <t>SHOP M3A NEWPARK S/CENTRE 64 MARANGAROO DRIVE
WA</t>
        </is>
      </c>
      <c r="T17" t="inlineStr">
        <is>
          <t>SHOP M3A NEWPARK S/CENTRE 64 MARANGAROO DRIVE</t>
        </is>
      </c>
      <c r="AD17" t="inlineStr">
        <is>
          <t>WA</t>
        </is>
      </c>
      <c r="AJ17" t="inlineStr" s="6">
        <f>HYPERLINK("https://metagenicsd365.crm6.dynamics.com/main.aspx?etn=account&amp;pagetype=entityrecord&amp;id=fc839b6f-9f4f-4384-b35c-0fc7fdf6acd3","fc839b6f-9f4f-4384-b35c-0fc7fdf6acd3")</f>
        <v>fc839b6f-9f4f-4384-b35c-0fc7fdf6acd3</v>
      </c>
      <c r="AK17">
        <v>1</v>
      </c>
      <c r="AL17" t="inlineStr">
        <is>
          <t>Default Value</t>
        </is>
      </c>
      <c r="AN17" t="inlineStr">
        <is>
          <t>SHOP M3A NEWPARK S/CENTRE 64 MARANGAROO DRIVE
WA</t>
        </is>
      </c>
      <c r="AR17">
        <v>1</v>
      </c>
      <c r="AS17" t="inlineStr">
        <is>
          <t>Default Value</t>
        </is>
      </c>
      <c r="AU17" t="inlineStr">
        <is>
          <t>SHOP M3A NEWPARK S/CENTRE 64 MARANGAROO DRIVE</t>
        </is>
      </c>
      <c r="BC17">
        <v>1</v>
      </c>
      <c r="BD17" t="inlineStr">
        <is>
          <t>Default Value</t>
        </is>
      </c>
      <c r="BE17" t="inlineStr">
        <is>
          <t>WA</t>
        </is>
      </c>
      <c r="BU17">
        <v>1</v>
      </c>
      <c r="BV17" t="inlineStr">
        <is>
          <t>Default Value</t>
        </is>
      </c>
      <c r="BW17" t="inlineStr" s="6">
        <f>HYPERLINK("https://metagenicsd365.crm6.dynamics.com/main.aspx?etn=account&amp;pagetype=entityrecord&amp;id=b699cbcf-7548-ef11-a316-002248d3fb70","b699cbcf-7548-ef11-a316-002248d3fb70")</f>
        <v>b699cbcf-7548-ef11-a316-002248d3fb70</v>
      </c>
      <c r="BX17" t="inlineStr">
        <is>
          <t>WIZARD PHARMACY GIRRAWHEEN</t>
        </is>
      </c>
      <c r="BY17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17" t="inlineStr">
        <is>
          <t>SVC_D365_CE #</t>
        </is>
      </c>
      <c r="CC17" s="3">
        <v>45498.937696759262</v>
      </c>
      <c r="CF17">
        <v>0.0000</v>
      </c>
      <c r="CG17">
        <v>0.0000</v>
      </c>
      <c r="CH17" t="b">
        <v>0</v>
      </c>
      <c r="CI17" t="inlineStr">
        <is>
          <t>No</t>
        </is>
      </c>
      <c r="CJ17">
        <v>1</v>
      </c>
      <c r="CK17" t="inlineStr">
        <is>
          <t>Default Value</t>
        </is>
      </c>
      <c r="CN17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17" t="inlineStr">
        <is>
          <t>All Products Australia</t>
        </is>
      </c>
      <c r="CQ17" t="b">
        <v>0</v>
      </c>
      <c r="CR17" t="inlineStr">
        <is>
          <t>Allow</t>
        </is>
      </c>
      <c r="CS17" t="b">
        <v>0</v>
      </c>
      <c r="CT17" t="inlineStr">
        <is>
          <t>No</t>
        </is>
      </c>
      <c r="CU17" t="b">
        <v>0</v>
      </c>
      <c r="CV17" t="inlineStr">
        <is>
          <t>Allow</t>
        </is>
      </c>
      <c r="CW17" t="b">
        <v>0</v>
      </c>
      <c r="CX17" t="inlineStr">
        <is>
          <t>Allow</t>
        </is>
      </c>
      <c r="CY17" t="b">
        <v>0</v>
      </c>
      <c r="CZ17" t="inlineStr">
        <is>
          <t>Allow</t>
        </is>
      </c>
      <c r="DA17" t="b">
        <v>0</v>
      </c>
      <c r="DB17" t="inlineStr">
        <is>
          <t>Allow</t>
        </is>
      </c>
      <c r="DC17" t="b">
        <v>0</v>
      </c>
      <c r="DD17" t="inlineStr">
        <is>
          <t>Send</t>
        </is>
      </c>
      <c r="DF17" t="inlineStr">
        <is>
          <t>financesupport@wizardps.com.au</t>
        </is>
      </c>
      <c r="DO17">
        <v>1.0000000000</v>
      </c>
      <c r="DQ17" t="b">
        <v>1</v>
      </c>
      <c r="DR17" t="inlineStr">
        <is>
          <t>Allow</t>
        </is>
      </c>
      <c r="EA17" t="b">
        <v>0</v>
      </c>
      <c r="EB17" t="inlineStr">
        <is>
          <t>No</t>
        </is>
      </c>
      <c r="EE17" t="b">
        <v>0</v>
      </c>
      <c r="EF17" t="inlineStr">
        <is>
          <t>No</t>
        </is>
      </c>
      <c r="EG17" t="inlineStr">
        <is>
          <t>All</t>
        </is>
      </c>
      <c r="EJ17" t="inlineStr">
        <is>
          <t>951850000,951850001</t>
        </is>
      </c>
      <c r="EK17" t="inlineStr">
        <is>
          <t>Retail; Practitioner</t>
        </is>
      </c>
      <c r="EL17" s="3">
        <v>45498.925196759257</v>
      </c>
      <c r="EM17" s="3">
        <v>93138.99998842593</v>
      </c>
      <c r="EO17" t="b">
        <v>0</v>
      </c>
      <c r="EP17" t="inlineStr">
        <is>
          <t>No</t>
        </is>
      </c>
      <c r="ER17" t="inlineStr">
        <is>
          <t>https://metagenicscorpaus.sharepoint.com/:f:/s/TMsRETAIL/EnVkxYJQuzBKpZQ2g_xqh3kBh4RPu7gwA-VEywSsUNxtiw?e=Ldn9bH</t>
        </is>
      </c>
      <c r="ES17" t="inlineStr" s="6">
        <f>HYPERLINK("https://metagenicsd365.crm6.dynamics.com/main.aspx?etn=account&amp;pagetype=entityrecord&amp;id=b699cbcf-7548-ef11-a316-002248d3fb70","b699cbcf-7548-ef11-a316-002248d3fb70")</f>
        <v>b699cbcf-7548-ef11-a316-002248d3fb70</v>
      </c>
      <c r="ET17" t="inlineStr">
        <is>
          <t>WIZARD PHARMACY GIRRAWHEEN</t>
        </is>
      </c>
      <c r="EU17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17" t="inlineStr">
        <is>
          <t>Australia</t>
        </is>
      </c>
      <c r="EW17">
        <v>951850003</v>
      </c>
      <c r="EX17" t="inlineStr">
        <is>
          <t>PRA01</t>
        </is>
      </c>
      <c r="EY17" t="inlineStr" s="6">
        <f>HYPERLINK("https://metagenicsd365.crm6.dynamics.com/main.aspx?etn=meta_postcode&amp;pagetype=entityrecord&amp;id=4decd17b-b2a7-e911-a86f-000d3ae10f1f","4decd17b-b2a7-e911-a86f-000d3ae10f1f")</f>
        <v>4decd17b-b2a7-e911-a86f-000d3ae10f1f</v>
      </c>
      <c r="EZ17" t="inlineStr">
        <is>
          <t>6064</t>
        </is>
      </c>
      <c r="FA17" t="inlineStr" s="6">
        <f>HYPERLINK("https://metagenicsd365.crm6.dynamics.com/main.aspx?etn=meta_suburb&amp;pagetype=entityrecord&amp;id=55227155-b6a7-e911-a875-000d3ae104e7","55227155-b6a7-e911-a875-000d3ae104e7")</f>
        <v>55227155-b6a7-e911-a875-000d3ae104e7</v>
      </c>
      <c r="FB17" t="inlineStr">
        <is>
          <t>GIRRAWHEEN</t>
        </is>
      </c>
      <c r="FC17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17" t="inlineStr">
        <is>
          <t>Australia</t>
        </is>
      </c>
      <c r="FE17" t="inlineStr">
        <is>
          <t>0000000000001059198</t>
        </is>
      </c>
      <c r="FM17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17" t="inlineStr">
        <is>
          <t>Australia</t>
        </is>
      </c>
      <c r="FO17" t="b">
        <v>1</v>
      </c>
      <c r="FP17" t="inlineStr">
        <is>
          <t>Yes</t>
        </is>
      </c>
      <c r="FQ17" t="inlineStr">
        <is>
          <t>PRACS</t>
        </is>
      </c>
      <c r="FW17" t="b">
        <v>0</v>
      </c>
      <c r="FX17" t="inlineStr">
        <is>
          <t>No</t>
        </is>
      </c>
      <c r="FZ17" t="inlineStr">
        <is>
          <t>Closed</t>
        </is>
      </c>
      <c r="GA17" t="inlineStr">
        <is>
          <t>ABL10012037</t>
        </is>
      </c>
      <c r="GB17" t="inlineStr" s="6">
        <f>HYPERLINK("https://metagenicsd365.crm6.dynamics.com/main.aspx?etn=meta_group&amp;pagetype=entityrecord&amp;id=246cfef6-b1a7-e911-a873-000d3ae10139","246cfef6-b1a7-e911-a873-000d3ae10139")</f>
        <v>246cfef6-b1a7-e911-a873-000d3ae10139</v>
      </c>
      <c r="GC17" t="inlineStr">
        <is>
          <t>Wizard Pharmacy Serv</t>
        </is>
      </c>
      <c r="GD17">
        <v>951850000</v>
      </c>
      <c r="GE17" t="inlineStr">
        <is>
          <t>Pending</t>
        </is>
      </c>
      <c r="GF17">
        <v>0.0000</v>
      </c>
      <c r="GG17">
        <v>0.0000</v>
      </c>
      <c r="GH17" s="3">
        <v>46122.659502314818</v>
      </c>
      <c r="GI17">
        <v>1</v>
      </c>
      <c r="GJ17" t="b">
        <v>1</v>
      </c>
      <c r="GK17" t="inlineStr">
        <is>
          <t>Yes</t>
        </is>
      </c>
      <c r="GL17" t="b">
        <v>1</v>
      </c>
      <c r="GM17" t="inlineStr">
        <is>
          <t>Yes</t>
        </is>
      </c>
      <c r="GO17" s="3">
        <v>46122.659502314818</v>
      </c>
      <c r="GR17" s="3">
        <v>46122.659502314818</v>
      </c>
      <c r="GU17" s="3">
        <v>46122.659502314818</v>
      </c>
      <c r="GY17" t="inlineStr">
        <is>
          <t>000001059198</t>
        </is>
      </c>
      <c r="GZ17" t="inlineStr">
        <is>
          <t>000000000060182</t>
        </is>
      </c>
      <c r="HB17" t="inlineStr">
        <is>
          <t>WIZARD PHARMACY GIRRAWHEEN</t>
        </is>
      </c>
      <c r="HI17">
        <v>0.0000</v>
      </c>
      <c r="HJ17">
        <v>0.0000</v>
      </c>
      <c r="HK17" s="3">
        <v>46122.659502314818</v>
      </c>
      <c r="HL17">
        <v>1</v>
      </c>
      <c r="HM17">
        <v>0.0000</v>
      </c>
      <c r="HN17">
        <v>0.0000</v>
      </c>
      <c r="HO17" s="3">
        <v>46122.659502314818</v>
      </c>
      <c r="HP17">
        <v>1</v>
      </c>
      <c r="HX17" t="inlineStr" s="6">
        <f>HYPERLINK("https://metagenicsd365.crm6.dynamics.com/main.aspx?etn=meta_paymentterm&amp;pagetype=entityrecord&amp;id=0768c959-38ba-eb11-8236-00224817f624","0768c959-38ba-eb11-8236-00224817f624")</f>
        <v>0768c959-38ba-eb11-8236-00224817f624</v>
      </c>
      <c r="HY17" t="inlineStr">
        <is>
          <t>Net 30 Days End of Month</t>
        </is>
      </c>
      <c r="IC17" t="inlineStr">
        <is>
          <t>WA</t>
        </is>
      </c>
      <c r="ID17" t="inlineStr">
        <is>
          <t>SHOP M3A NEWPARK S/CENTRE 64 MARANGAROO DRIVE</t>
        </is>
      </c>
      <c r="IE17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17" t="inlineStr">
        <is>
          <t>Australia</t>
        </is>
      </c>
      <c r="IG17" t="inlineStr" s="6">
        <f>HYPERLINK("https://metagenicsd365.crm6.dynamics.com/main.aspx?etn=meta_postcode&amp;pagetype=entityrecord&amp;id=4decd17b-b2a7-e911-a86f-000d3ae10f1f","4decd17b-b2a7-e911-a86f-000d3ae10f1f")</f>
        <v>4decd17b-b2a7-e911-a86f-000d3ae10f1f</v>
      </c>
      <c r="IH17" t="inlineStr">
        <is>
          <t>6064</t>
        </is>
      </c>
      <c r="II17" t="inlineStr" s="6">
        <f>HYPERLINK("https://metagenicsd365.crm6.dynamics.com/main.aspx?etn=meta_suburb&amp;pagetype=entityrecord&amp;id=55227155-b6a7-e911-a875-000d3ae104e7","55227155-b6a7-e911-a875-000d3ae104e7")</f>
        <v>55227155-b6a7-e911-a875-000d3ae104e7</v>
      </c>
      <c r="IJ17" t="inlineStr">
        <is>
          <t>GIRRAWHEEN</t>
        </is>
      </c>
      <c r="IK17" t="inlineStr" s="6">
        <f>HYPERLINK("https://metagenicsd365.crm6.dynamics.com/main.aspx?etn=meta_postcode&amp;pagetype=entityrecord&amp;id=4decd17b-b2a7-e911-a86f-000d3ae10f1f","4decd17b-b2a7-e911-a86f-000d3ae10f1f")</f>
        <v>4decd17b-b2a7-e911-a86f-000d3ae10f1f</v>
      </c>
      <c r="IL17" t="inlineStr">
        <is>
          <t>6064</t>
        </is>
      </c>
      <c r="IM17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17" t="inlineStr">
        <is>
          <t># HWORLD</t>
        </is>
      </c>
      <c r="IO17" t="inlineStr" s="6">
        <f>HYPERLINK("https://metagenicsd365.crm6.dynamics.com/main.aspx?etn=meta_segment&amp;pagetype=entityrecord&amp;id=e31c2e46-c9d1-ed11-a7c7-00224818a8ea","e31c2e46-c9d1-ed11-a7c7-00224818a8ea")</f>
        <v>e31c2e46-c9d1-ed11-a7c7-00224818a8ea</v>
      </c>
      <c r="IP17" t="inlineStr">
        <is>
          <t>Duplicates</t>
        </is>
      </c>
      <c r="IQ17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17" t="inlineStr">
        <is>
          <t>APH0</t>
        </is>
      </c>
      <c r="IZ17">
        <v>951850001</v>
      </c>
      <c r="JA17" t="inlineStr">
        <is>
          <t>Location</t>
        </is>
      </c>
      <c r="JE17" t="b">
        <v>0</v>
      </c>
      <c r="JF17" t="inlineStr">
        <is>
          <t>No</t>
        </is>
      </c>
      <c r="JI17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JJ17" t="inlineStr">
        <is>
          <t># HWORLD</t>
        </is>
      </c>
      <c r="JK17" t="inlineStr" s="6">
        <f>HYPERLINK("https://metagenicsd365.crm6.dynamics.com/main.aspx?etn=meta_segment&amp;pagetype=entityrecord&amp;id=e31c2e46-c9d1-ed11-a7c7-00224818a8ea","e31c2e46-c9d1-ed11-a7c7-00224818a8ea")</f>
        <v>e31c2e46-c9d1-ed11-a7c7-00224818a8ea</v>
      </c>
      <c r="JL17" t="inlineStr">
        <is>
          <t>Duplicates</t>
        </is>
      </c>
      <c r="JM17" t="inlineStr" s="6">
        <f>HYPERLINK("https://metagenicsd365.crm6.dynamics.com/main.aspx?etn=territory&amp;pagetype=entityrecord&amp;id=c64322e5-8030-eb11-a813-000d3ae15585","c64322e5-8030-eb11-a813-000d3ae15585")</f>
        <v>c64322e5-8030-eb11-a813-000d3ae15585</v>
      </c>
      <c r="JN17" t="inlineStr">
        <is>
          <t>ARH0</t>
        </is>
      </c>
      <c r="JT17">
        <v>951850002</v>
      </c>
      <c r="JU17" t="inlineStr">
        <is>
          <t>PRM - Priority Shipping</t>
        </is>
      </c>
      <c r="JY17" t="inlineStr" s="6">
        <f>HYPERLINK("https://metagenicsd365.crm6.dynamics.com/main.aspx?etn=meta_suburb&amp;pagetype=entityrecord&amp;id=55227155-b6a7-e911-a875-000d3ae104e7","55227155-b6a7-e911-a875-000d3ae104e7")</f>
        <v>55227155-b6a7-e911-a875-000d3ae104e7</v>
      </c>
      <c r="JZ17" t="inlineStr">
        <is>
          <t>GIRRAWHEEN</t>
        </is>
      </c>
      <c r="KB17">
        <v>0.0000</v>
      </c>
      <c r="KC17">
        <v>0.0000</v>
      </c>
      <c r="KD17" s="3">
        <v>46122.659502314818</v>
      </c>
      <c r="KE17">
        <v>1</v>
      </c>
      <c r="KF17">
        <v>0.0000</v>
      </c>
      <c r="KG17">
        <v>0.0000</v>
      </c>
      <c r="KH17" s="3">
        <v>46122.659502314818</v>
      </c>
      <c r="KI17">
        <v>1</v>
      </c>
      <c r="KJ17">
        <v>0.0000</v>
      </c>
      <c r="KK17">
        <v>0.0000</v>
      </c>
      <c r="KL17" s="3">
        <v>46122.659502314818</v>
      </c>
      <c r="KM17">
        <v>1</v>
      </c>
      <c r="KN17" t="b">
        <v>0</v>
      </c>
      <c r="KO17" t="inlineStr">
        <is>
          <t>No</t>
        </is>
      </c>
      <c r="KP17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17" t="inlineStr">
        <is>
          <t>Sriganesh Subramanian</t>
        </is>
      </c>
      <c r="KT17" s="3">
        <v>46110.924664351849</v>
      </c>
      <c r="LA17" t="b">
        <v>0</v>
      </c>
      <c r="LB17" t="inlineStr">
        <is>
          <t>No</t>
        </is>
      </c>
      <c r="LH17" t="inlineStr">
        <is>
          <t>WIZARD PHARMACY GIRRAWHEEN</t>
        </is>
      </c>
      <c r="LO17">
        <v>0</v>
      </c>
      <c r="LP17" s="3">
        <v>46122.659502314818</v>
      </c>
      <c r="LQ17">
        <v>1</v>
      </c>
      <c r="LR17">
        <v>0.0000</v>
      </c>
      <c r="LS17">
        <v>0.0000</v>
      </c>
      <c r="LT17" s="3">
        <v>46122.659502314818</v>
      </c>
      <c r="LU17">
        <v>1</v>
      </c>
      <c r="LY17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17" t="inlineStr">
        <is>
          <t>Australia</t>
        </is>
      </c>
      <c r="MA17" t="inlineStr">
        <is>
          <t>team</t>
        </is>
      </c>
      <c r="MD17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17" t="inlineStr">
        <is>
          <t>Australia</t>
        </is>
      </c>
      <c r="MF17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J17" t="inlineStr" s="6">
        <f>HYPERLINK("https://metagenicsd365.crm6.dynamics.com/main.aspx?etn=account&amp;pagetype=entityrecord&amp;id=b699cbcf-7548-ef11-a316-002248d3fb70","b699cbcf-7548-ef11-a316-002248d3fb70")</f>
        <v>b699cbcf-7548-ef11-a316-002248d3fb70</v>
      </c>
      <c r="MK17" t="inlineStr">
        <is>
          <t>WIZARD PHARMACY GIRRAWHEEN</t>
        </is>
      </c>
      <c r="ML17" t="b">
        <v>0</v>
      </c>
      <c r="MM17" t="inlineStr">
        <is>
          <t>No</t>
        </is>
      </c>
      <c r="MT17">
        <v>1</v>
      </c>
      <c r="MU17" t="inlineStr">
        <is>
          <t>Any</t>
        </is>
      </c>
      <c r="NJ17">
        <v>1</v>
      </c>
      <c r="NK17" t="inlineStr">
        <is>
          <t>Airborne</t>
        </is>
      </c>
      <c r="NR17">
        <v>0</v>
      </c>
      <c r="NS17" t="inlineStr">
        <is>
          <t>Active</t>
        </is>
      </c>
      <c r="NT17">
        <v>1</v>
      </c>
      <c r="NU17" t="inlineStr">
        <is>
          <t>Active</t>
        </is>
      </c>
      <c r="NY17" t="inlineStr">
        <is>
          <t>08 9247 1688</t>
        </is>
      </c>
      <c r="OA17">
        <v>1</v>
      </c>
      <c r="OB17" t="inlineStr">
        <is>
          <t>Default Value</t>
        </is>
      </c>
      <c r="OG17">
        <v>0</v>
      </c>
      <c r="OH17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17" t="inlineStr">
        <is>
          <t>Australian Dollar</t>
        </is>
      </c>
      <c r="OL17" t="inlineStr">
        <is>
          <t>0x000000003E619A1B</t>
        </is>
      </c>
    </row>
    <row r="18">
      <c r="C18">
        <v>1</v>
      </c>
      <c r="D18" t="inlineStr">
        <is>
          <t>Default Value</t>
        </is>
      </c>
      <c r="E18" t="inlineStr" s="6">
        <f>HYPERLINK("https://metagenicsd365.crm6.dynamics.com/main.aspx?etn=account&amp;pagetype=entityrecord&amp;id=15decd8a-de4e-ef11-a316-000d3a793080","15decd8a-de4e-ef11-a316-000d3a793080")</f>
        <v>15decd8a-de4e-ef11-a316-000d3a793080</v>
      </c>
      <c r="F18" t="inlineStr">
        <is>
          <t>000001060039</t>
        </is>
      </c>
      <c r="G18">
        <v>1</v>
      </c>
      <c r="H18" t="inlineStr">
        <is>
          <t>Default Value</t>
        </is>
      </c>
      <c r="I18" t="inlineStr" s="6">
        <f>HYPERLINK("https://metagenicsd365.crm6.dynamics.com/main.aspx?etn=account&amp;pagetype=entityrecord&amp;id=6faa51c3-a275-4f33-9f6c-399fe6c59a25","6faa51c3-a275-4f33-9f6c-399fe6c59a25")</f>
        <v>6faa51c3-a275-4f33-9f6c-399fe6c59a25</v>
      </c>
      <c r="L18" t="inlineStr">
        <is>
          <t>/meta_suburbs(e638e6cd-b4a7-e911-a875-000d3ae104e7)</t>
        </is>
      </c>
      <c r="M18" t="inlineStr">
        <is>
          <t>142 NICHOLSON STREET
/meta_suburbs(e638e6cd-b4a7-e911-a875-000d3ae104e7), VIC</t>
        </is>
      </c>
      <c r="T18" t="inlineStr">
        <is>
          <t>142 NICHOLSON STREET</t>
        </is>
      </c>
      <c r="AD18" t="inlineStr">
        <is>
          <t>VIC</t>
        </is>
      </c>
      <c r="AE18" t="inlineStr">
        <is>
          <t>0416 822 494</t>
        </is>
      </c>
      <c r="AJ18" t="inlineStr" s="6">
        <f>HYPERLINK("https://metagenicsd365.crm6.dynamics.com/main.aspx?etn=account&amp;pagetype=entityrecord&amp;id=dfe82e81-70fa-4b9c-8c2f-729ea19638da","dfe82e81-70fa-4b9c-8c2f-729ea19638da")</f>
        <v>dfe82e81-70fa-4b9c-8c2f-729ea19638da</v>
      </c>
      <c r="AK18">
        <v>1</v>
      </c>
      <c r="AL18" t="inlineStr">
        <is>
          <t>Default Value</t>
        </is>
      </c>
      <c r="AM18" t="inlineStr">
        <is>
          <t>/meta_suburbs(e638e6cd-b4a7-e911-a875-000d3ae104e7)</t>
        </is>
      </c>
      <c r="AN18" t="inlineStr">
        <is>
          <t>142 NICHOLSON STREET
/meta_suburbs(e638e6cd-b4a7-e911-a875-000d3ae104e7), VIC</t>
        </is>
      </c>
      <c r="AR18">
        <v>1</v>
      </c>
      <c r="AS18" t="inlineStr">
        <is>
          <t>Default Value</t>
        </is>
      </c>
      <c r="AU18" t="inlineStr">
        <is>
          <t>142 NICHOLSON STREET</t>
        </is>
      </c>
      <c r="BC18">
        <v>1</v>
      </c>
      <c r="BD18" t="inlineStr">
        <is>
          <t>Default Value</t>
        </is>
      </c>
      <c r="BE18" t="inlineStr">
        <is>
          <t>VIC</t>
        </is>
      </c>
      <c r="BU18">
        <v>1</v>
      </c>
      <c r="BV18" t="inlineStr">
        <is>
          <t>Default Value</t>
        </is>
      </c>
      <c r="BY18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18" t="inlineStr">
        <is>
          <t>SVC_D365_CE #</t>
        </is>
      </c>
      <c r="CC18" s="3">
        <v>45504.073206018518</v>
      </c>
      <c r="CH18" t="b">
        <v>0</v>
      </c>
      <c r="CI18" t="inlineStr">
        <is>
          <t>No</t>
        </is>
      </c>
      <c r="CJ18">
        <v>1</v>
      </c>
      <c r="CK18" t="inlineStr">
        <is>
          <t>Default Value</t>
        </is>
      </c>
      <c r="CN18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18" t="inlineStr">
        <is>
          <t>All Products Australia</t>
        </is>
      </c>
      <c r="CQ18" t="b">
        <v>0</v>
      </c>
      <c r="CR18" t="inlineStr">
        <is>
          <t>Allow</t>
        </is>
      </c>
      <c r="CS18" t="b">
        <v>0</v>
      </c>
      <c r="CT18" t="inlineStr">
        <is>
          <t>No</t>
        </is>
      </c>
      <c r="CU18" t="b">
        <v>0</v>
      </c>
      <c r="CV18" t="inlineStr">
        <is>
          <t>Allow</t>
        </is>
      </c>
      <c r="CW18" t="b">
        <v>0</v>
      </c>
      <c r="CX18" t="inlineStr">
        <is>
          <t>Allow</t>
        </is>
      </c>
      <c r="CY18" t="b">
        <v>0</v>
      </c>
      <c r="CZ18" t="inlineStr">
        <is>
          <t>Allow</t>
        </is>
      </c>
      <c r="DA18" t="b">
        <v>0</v>
      </c>
      <c r="DB18" t="inlineStr">
        <is>
          <t>Allow</t>
        </is>
      </c>
      <c r="DC18" t="b">
        <v>0</v>
      </c>
      <c r="DD18" t="inlineStr">
        <is>
          <t>Send</t>
        </is>
      </c>
      <c r="DE18" t="inlineStr">
        <is>
          <t>zoejacquesnaturopath@gmail.com</t>
        </is>
      </c>
      <c r="DF18" t="inlineStr">
        <is>
          <t>zoejacquesnaturopath@gmail.com</t>
        </is>
      </c>
      <c r="DO18">
        <v>1.0000000000</v>
      </c>
      <c r="DQ18" t="b">
        <v>1</v>
      </c>
      <c r="DR18" t="inlineStr">
        <is>
          <t>Allow</t>
        </is>
      </c>
      <c r="EA18" t="b">
        <v>0</v>
      </c>
      <c r="EB18" t="inlineStr">
        <is>
          <t>No</t>
        </is>
      </c>
      <c r="EE18" t="b">
        <v>0</v>
      </c>
      <c r="EF18" t="inlineStr">
        <is>
          <t>No</t>
        </is>
      </c>
      <c r="EG18" t="inlineStr">
        <is>
          <t>No</t>
        </is>
      </c>
      <c r="EJ18" t="inlineStr">
        <is>
          <t>951850001</t>
        </is>
      </c>
      <c r="EK18" t="inlineStr">
        <is>
          <t>Practitioner</t>
        </is>
      </c>
      <c r="EL18" s="3">
        <v>45504.069780092592</v>
      </c>
      <c r="EM18" s="3">
        <v>93138.99998842593</v>
      </c>
      <c r="EN18" t="inlineStr">
        <is>
          <t>PRAC</t>
        </is>
      </c>
      <c r="EO18" t="b">
        <v>0</v>
      </c>
      <c r="EP18" t="inlineStr">
        <is>
          <t>No</t>
        </is>
      </c>
      <c r="EQ18" t="inlineStr">
        <is>
          <t>No</t>
        </is>
      </c>
      <c r="EU18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18" t="inlineStr">
        <is>
          <t>Australia</t>
        </is>
      </c>
      <c r="EW18">
        <v>951850013</v>
      </c>
      <c r="EX18" t="inlineStr">
        <is>
          <t>PRACS</t>
        </is>
      </c>
      <c r="EY18" t="inlineStr" s="6">
        <f>HYPERLINK("https://metagenicsd365.crm6.dynamics.com/main.aspx?etn=meta_postcode&amp;pagetype=entityrecord&amp;id=aaa00e03-b2a7-e911-a873-000d3ae10139","aaa00e03-b2a7-e911-a873-000d3ae10139")</f>
        <v>aaa00e03-b2a7-e911-a873-000d3ae10139</v>
      </c>
      <c r="EZ18" t="inlineStr">
        <is>
          <t>3057</t>
        </is>
      </c>
      <c r="FA18" t="inlineStr" s="6">
        <f>HYPERLINK("https://metagenicsd365.crm6.dynamics.com/main.aspx?etn=meta_suburb&amp;pagetype=entityrecord&amp;id=e638e6cd-b4a7-e911-a875-000d3ae104e7","e638e6cd-b4a7-e911-a875-000d3ae104e7")</f>
        <v>e638e6cd-b4a7-e911-a875-000d3ae104e7</v>
      </c>
      <c r="FB18" t="inlineStr">
        <is>
          <t>BRUNSWICK EAST</t>
        </is>
      </c>
      <c r="FC18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18" t="inlineStr">
        <is>
          <t>Australia</t>
        </is>
      </c>
      <c r="FE18" t="inlineStr">
        <is>
          <t>0000000000001060039</t>
        </is>
      </c>
      <c r="FM18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18" t="inlineStr">
        <is>
          <t>Australia</t>
        </is>
      </c>
      <c r="FO18" t="b">
        <v>1</v>
      </c>
      <c r="FP18" t="inlineStr">
        <is>
          <t>Yes</t>
        </is>
      </c>
      <c r="FQ18" t="inlineStr">
        <is>
          <t>PRACS</t>
        </is>
      </c>
      <c r="FW18" t="b">
        <v>0</v>
      </c>
      <c r="FX18" t="inlineStr">
        <is>
          <t>No</t>
        </is>
      </c>
      <c r="GA18" t="inlineStr">
        <is>
          <t>ABL10068372</t>
        </is>
      </c>
      <c r="GD18">
        <v>951850000</v>
      </c>
      <c r="GE18" t="inlineStr">
        <is>
          <t>Pending</t>
        </is>
      </c>
      <c r="GF18">
        <v>0.0000</v>
      </c>
      <c r="GG18">
        <v>0.0000</v>
      </c>
      <c r="GH18" s="3">
        <v>46122.659502314818</v>
      </c>
      <c r="GI18">
        <v>1</v>
      </c>
      <c r="GJ18" t="b">
        <v>1</v>
      </c>
      <c r="GK18" t="inlineStr">
        <is>
          <t>Yes</t>
        </is>
      </c>
      <c r="GO18" s="3">
        <v>46122.659502314818</v>
      </c>
      <c r="GR18" s="3">
        <v>46122.659502314818</v>
      </c>
      <c r="GU18" s="3">
        <v>46122.659502314818</v>
      </c>
      <c r="GY18" t="inlineStr">
        <is>
          <t>000001060039</t>
        </is>
      </c>
      <c r="HB18" t="inlineStr">
        <is>
          <t>ZOE JACQUES</t>
        </is>
      </c>
      <c r="HI18">
        <v>0.0000</v>
      </c>
      <c r="HK18" s="3">
        <v>46122.659502314818</v>
      </c>
      <c r="HL18">
        <v>1</v>
      </c>
      <c r="HM18">
        <v>0.0000</v>
      </c>
      <c r="HO18" s="3">
        <v>46122.659502314818</v>
      </c>
      <c r="HP18">
        <v>1</v>
      </c>
      <c r="HX18" t="inlineStr" s="6">
        <f>HYPERLINK("https://metagenicsd365.crm6.dynamics.com/main.aspx?etn=meta_paymentterm&amp;pagetype=entityrecord&amp;id=31971c9d-38ba-eb11-8236-00224817f624","31971c9d-38ba-eb11-8236-00224817f624")</f>
        <v>31971c9d-38ba-eb11-8236-00224817f624</v>
      </c>
      <c r="HY18" t="inlineStr">
        <is>
          <t>Cash</t>
        </is>
      </c>
      <c r="IC18" t="inlineStr">
        <is>
          <t>VIC</t>
        </is>
      </c>
      <c r="ID18" t="inlineStr">
        <is>
          <t>142 NICHOLSON STREET</t>
        </is>
      </c>
      <c r="IE18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18" t="inlineStr">
        <is>
          <t>Australia</t>
        </is>
      </c>
      <c r="IG18" t="inlineStr" s="6">
        <f>HYPERLINK("https://metagenicsd365.crm6.dynamics.com/main.aspx?etn=meta_postcode&amp;pagetype=entityrecord&amp;id=aaa00e03-b2a7-e911-a873-000d3ae10139","aaa00e03-b2a7-e911-a873-000d3ae10139")</f>
        <v>aaa00e03-b2a7-e911-a873-000d3ae10139</v>
      </c>
      <c r="IH18" t="inlineStr">
        <is>
          <t>3057</t>
        </is>
      </c>
      <c r="II18" t="inlineStr" s="6">
        <f>HYPERLINK("https://metagenicsd365.crm6.dynamics.com/main.aspx?etn=meta_suburb&amp;pagetype=entityrecord&amp;id=e638e6cd-b4a7-e911-a875-000d3ae104e7","e638e6cd-b4a7-e911-a875-000d3ae104e7")</f>
        <v>e638e6cd-b4a7-e911-a875-000d3ae104e7</v>
      </c>
      <c r="IJ18" t="inlineStr">
        <is>
          <t>BRUNSWICK EAST</t>
        </is>
      </c>
      <c r="IK18" t="inlineStr" s="6">
        <f>HYPERLINK("https://metagenicsd365.crm6.dynamics.com/main.aspx?etn=meta_postcode&amp;pagetype=entityrecord&amp;id=aaa00e03-b2a7-e911-a873-000d3ae10139","aaa00e03-b2a7-e911-a873-000d3ae10139")</f>
        <v>aaa00e03-b2a7-e911-a873-000d3ae10139</v>
      </c>
      <c r="IL18" t="inlineStr">
        <is>
          <t>3057</t>
        </is>
      </c>
      <c r="IM18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18" t="inlineStr">
        <is>
          <t># HWORLD</t>
        </is>
      </c>
      <c r="IO18" t="inlineStr" s="6">
        <f>HYPERLINK("https://metagenicsd365.crm6.dynamics.com/main.aspx?etn=meta_segment&amp;pagetype=entityrecord&amp;id=44e3a56e-8030-eb11-a813-000d3ae15585","44e3a56e-8030-eb11-a813-000d3ae15585")</f>
        <v>44e3a56e-8030-eb11-a813-000d3ae15585</v>
      </c>
      <c r="IP18" t="inlineStr">
        <is>
          <t>10 - New accounts opened</t>
        </is>
      </c>
      <c r="IQ18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18" t="inlineStr">
        <is>
          <t>APH0</t>
        </is>
      </c>
      <c r="IZ18">
        <v>951850000</v>
      </c>
      <c r="JA18" t="inlineStr">
        <is>
          <t>Billing</t>
        </is>
      </c>
      <c r="JE18" t="b">
        <v>0</v>
      </c>
      <c r="JF18" t="inlineStr">
        <is>
          <t>No</t>
        </is>
      </c>
      <c r="JT18">
        <v>951850001</v>
      </c>
      <c r="JU18" t="inlineStr">
        <is>
          <t>EXP - Standard Shipping</t>
        </is>
      </c>
      <c r="JY18" t="inlineStr" s="6">
        <f>HYPERLINK("https://metagenicsd365.crm6.dynamics.com/main.aspx?etn=meta_suburb&amp;pagetype=entityrecord&amp;id=e638e6cd-b4a7-e911-a875-000d3ae104e7","e638e6cd-b4a7-e911-a875-000d3ae104e7")</f>
        <v>e638e6cd-b4a7-e911-a875-000d3ae104e7</v>
      </c>
      <c r="JZ18" t="inlineStr">
        <is>
          <t>BRUNSWICK EAST</t>
        </is>
      </c>
      <c r="KB18">
        <v>0.0000</v>
      </c>
      <c r="KD18" s="3">
        <v>46122.659502314818</v>
      </c>
      <c r="KE18">
        <v>1</v>
      </c>
      <c r="KF18">
        <v>0.0000</v>
      </c>
      <c r="KH18" s="3">
        <v>46122.659502314818</v>
      </c>
      <c r="KI18">
        <v>1</v>
      </c>
      <c r="KJ18">
        <v>0.0000</v>
      </c>
      <c r="KL18" s="3">
        <v>46122.659502314818</v>
      </c>
      <c r="KM18">
        <v>1</v>
      </c>
      <c r="KN18" t="b">
        <v>0</v>
      </c>
      <c r="KO18" t="inlineStr">
        <is>
          <t>No</t>
        </is>
      </c>
      <c r="KP18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18" t="inlineStr">
        <is>
          <t>Sriganesh Subramanian</t>
        </is>
      </c>
      <c r="KT18" s="3">
        <v>46086.425138888888</v>
      </c>
      <c r="LA18" t="b">
        <v>0</v>
      </c>
      <c r="LB18" t="inlineStr">
        <is>
          <t>No</t>
        </is>
      </c>
      <c r="LH18" t="inlineStr">
        <is>
          <t>ZOE JACQUES</t>
        </is>
      </c>
      <c r="LO18">
        <v>0</v>
      </c>
      <c r="LP18" s="3">
        <v>46122.659502314818</v>
      </c>
      <c r="LQ18">
        <v>1</v>
      </c>
      <c r="LR18">
        <v>0.0000</v>
      </c>
      <c r="LS18">
        <v>0.0000</v>
      </c>
      <c r="LT18" s="3">
        <v>46122.659502314818</v>
      </c>
      <c r="LU18">
        <v>1</v>
      </c>
      <c r="LY18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18" t="inlineStr">
        <is>
          <t>Australia</t>
        </is>
      </c>
      <c r="MA18" t="inlineStr">
        <is>
          <t>team</t>
        </is>
      </c>
      <c r="MD18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18" t="inlineStr">
        <is>
          <t>Australia</t>
        </is>
      </c>
      <c r="MF18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L18" t="b">
        <v>0</v>
      </c>
      <c r="MM18" t="inlineStr">
        <is>
          <t>No</t>
        </is>
      </c>
      <c r="MT18">
        <v>1</v>
      </c>
      <c r="MU18" t="inlineStr">
        <is>
          <t>Any</t>
        </is>
      </c>
      <c r="NB18" t="inlineStr" s="6">
        <f>HYPERLINK("https://metagenicsd365.crm6.dynamics.com/main.aspx?etn=contact&amp;pagetype=entityrecord&amp;id=60618b4f-d84e-ef11-a316-0022481456ca","60618b4f-d84e-ef11-a316-0022481456ca")</f>
        <v>60618b4f-d84e-ef11-a316-0022481456ca</v>
      </c>
      <c r="NC18" t="inlineStr">
        <is>
          <t>ZOE Jacques</t>
        </is>
      </c>
      <c r="NJ18">
        <v>1</v>
      </c>
      <c r="NK18" t="inlineStr">
        <is>
          <t>Airborne</t>
        </is>
      </c>
      <c r="NR18">
        <v>0</v>
      </c>
      <c r="NS18" t="inlineStr">
        <is>
          <t>Active</t>
        </is>
      </c>
      <c r="NT18">
        <v>1</v>
      </c>
      <c r="NU18" t="inlineStr">
        <is>
          <t>Active</t>
        </is>
      </c>
      <c r="NX18" t="inlineStr">
        <is>
          <t>0416 822 494</t>
        </is>
      </c>
      <c r="NY18" t="inlineStr">
        <is>
          <t>0416 822 494</t>
        </is>
      </c>
      <c r="OA18">
        <v>1</v>
      </c>
      <c r="OB18" t="inlineStr">
        <is>
          <t>Default Value</t>
        </is>
      </c>
      <c r="OG18">
        <v>0</v>
      </c>
      <c r="OH18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18" t="inlineStr">
        <is>
          <t>Australian Dollar</t>
        </is>
      </c>
      <c r="OL18" t="inlineStr">
        <is>
          <t>0x000000003D8324EB</t>
        </is>
      </c>
    </row>
    <row r="19">
      <c r="C19">
        <v>1</v>
      </c>
      <c r="D19" t="inlineStr">
        <is>
          <t>Default Value</t>
        </is>
      </c>
      <c r="E19" t="inlineStr" s="6">
        <f>HYPERLINK("https://metagenicsd365.crm6.dynamics.com/main.aspx?etn=account&amp;pagetype=entityrecord&amp;id=904dab32-f04e-ef11-a316-000d3a793080","904dab32-f04e-ef11-a316-000d3a793080")</f>
        <v>904dab32-f04e-ef11-a316-000d3a793080</v>
      </c>
      <c r="G19">
        <v>1</v>
      </c>
      <c r="H19" t="inlineStr">
        <is>
          <t>Default Value</t>
        </is>
      </c>
      <c r="I19" t="inlineStr" s="6">
        <f>HYPERLINK("https://metagenicsd365.crm6.dynamics.com/main.aspx?etn=account&amp;pagetype=entityrecord&amp;id=8984f71b-d143-4fbb-b354-69d698bdfe13","8984f71b-d143-4fbb-b354-69d698bdfe13")</f>
        <v>8984f71b-d143-4fbb-b354-69d698bdfe13</v>
      </c>
      <c r="AJ19" t="inlineStr" s="6">
        <f>HYPERLINK("https://metagenicsd365.crm6.dynamics.com/main.aspx?etn=account&amp;pagetype=entityrecord&amp;id=e705864f-b1c2-46ee-9820-39436ce5f16d","e705864f-b1c2-46ee-9820-39436ce5f16d")</f>
        <v>e705864f-b1c2-46ee-9820-39436ce5f16d</v>
      </c>
      <c r="AK19">
        <v>1</v>
      </c>
      <c r="AL19" t="inlineStr">
        <is>
          <t>Default Value</t>
        </is>
      </c>
      <c r="AR19">
        <v>1</v>
      </c>
      <c r="AS19" t="inlineStr">
        <is>
          <t>Default Value</t>
        </is>
      </c>
      <c r="BC19">
        <v>1</v>
      </c>
      <c r="BD19" t="inlineStr">
        <is>
          <t>Default Value</t>
        </is>
      </c>
      <c r="BU19">
        <v>1</v>
      </c>
      <c r="BV19" t="inlineStr">
        <is>
          <t>Default Value</t>
        </is>
      </c>
      <c r="BY19" t="inlineStr" s="6">
        <f>HYPERLINK("https://metagenicsd365.crm6.dynamics.com/main.aspx?etn=systemuser&amp;pagetype=entityrecord&amp;id=46bb1569-dff2-ee11-904b-000d3a79c868","46bb1569-dff2-ee11-904b-000d3a79c868")</f>
        <v>46bb1569-dff2-ee11-904b-000d3a79c868</v>
      </c>
      <c r="BZ19" t="inlineStr">
        <is>
          <t>Stephanie Gower</t>
        </is>
      </c>
      <c r="CC19" s="3">
        <v>45504.1609837963</v>
      </c>
      <c r="CH19" t="b">
        <v>0</v>
      </c>
      <c r="CI19" t="inlineStr">
        <is>
          <t>No</t>
        </is>
      </c>
      <c r="CJ19">
        <v>1</v>
      </c>
      <c r="CK19" t="inlineStr">
        <is>
          <t>Default Value</t>
        </is>
      </c>
      <c r="CN19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19" t="inlineStr">
        <is>
          <t>All Products Australia</t>
        </is>
      </c>
      <c r="CQ19" t="b">
        <v>0</v>
      </c>
      <c r="CR19" t="inlineStr">
        <is>
          <t>Allow</t>
        </is>
      </c>
      <c r="CS19" t="b">
        <v>0</v>
      </c>
      <c r="CT19" t="inlineStr">
        <is>
          <t>No</t>
        </is>
      </c>
      <c r="CU19" t="b">
        <v>0</v>
      </c>
      <c r="CV19" t="inlineStr">
        <is>
          <t>Allow</t>
        </is>
      </c>
      <c r="CW19" t="b">
        <v>0</v>
      </c>
      <c r="CX19" t="inlineStr">
        <is>
          <t>Allow</t>
        </is>
      </c>
      <c r="CY19" t="b">
        <v>0</v>
      </c>
      <c r="CZ19" t="inlineStr">
        <is>
          <t>Allow</t>
        </is>
      </c>
      <c r="DA19" t="b">
        <v>0</v>
      </c>
      <c r="DB19" t="inlineStr">
        <is>
          <t>Allow</t>
        </is>
      </c>
      <c r="DC19" t="b">
        <v>0</v>
      </c>
      <c r="DD19" t="inlineStr">
        <is>
          <t>Send</t>
        </is>
      </c>
      <c r="DH19" t="inlineStr">
        <is>
          <t>9f4a4358-1856-ef11-bfe3-6045bd408c39</t>
        </is>
      </c>
      <c r="DO19">
        <v>1.0000000000</v>
      </c>
      <c r="DQ19" t="b">
        <v>1</v>
      </c>
      <c r="DR19" t="inlineStr">
        <is>
          <t>Allow</t>
        </is>
      </c>
      <c r="EA19" t="b">
        <v>0</v>
      </c>
      <c r="EB19" t="inlineStr">
        <is>
          <t>No</t>
        </is>
      </c>
      <c r="EE19" t="b">
        <v>0</v>
      </c>
      <c r="EF19" t="inlineStr">
        <is>
          <t>No</t>
        </is>
      </c>
      <c r="EJ19" t="inlineStr">
        <is>
          <t>951850000,951850001</t>
        </is>
      </c>
      <c r="EK19" t="inlineStr">
        <is>
          <t>Retail; Practitioner</t>
        </is>
      </c>
      <c r="EO19" t="b">
        <v>0</v>
      </c>
      <c r="EP19" t="inlineStr">
        <is>
          <t>No</t>
        </is>
      </c>
      <c r="FC19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19" t="inlineStr">
        <is>
          <t>Australia</t>
        </is>
      </c>
      <c r="FE19" t="inlineStr">
        <is>
          <t>0000000</t>
        </is>
      </c>
      <c r="FO19" t="b">
        <v>1</v>
      </c>
      <c r="FP19" t="inlineStr">
        <is>
          <t>Yes</t>
        </is>
      </c>
      <c r="FQ19" t="inlineStr">
        <is>
          <t>PRACS</t>
        </is>
      </c>
      <c r="FW19" t="b">
        <v>0</v>
      </c>
      <c r="FX19" t="inlineStr">
        <is>
          <t>No</t>
        </is>
      </c>
      <c r="GD19">
        <v>951850000</v>
      </c>
      <c r="GE19" t="inlineStr">
        <is>
          <t>Pending</t>
        </is>
      </c>
      <c r="GF19">
        <v>0.0000</v>
      </c>
      <c r="GG19">
        <v>0.0000</v>
      </c>
      <c r="GH19" s="3">
        <v>46122.659502314818</v>
      </c>
      <c r="GI19">
        <v>1</v>
      </c>
      <c r="GJ19" t="b">
        <v>1</v>
      </c>
      <c r="GK19" t="inlineStr">
        <is>
          <t>Yes</t>
        </is>
      </c>
      <c r="GL19" t="b">
        <v>1</v>
      </c>
      <c r="GM19" t="inlineStr">
        <is>
          <t>Yes</t>
        </is>
      </c>
      <c r="GO19" s="3">
        <v>46122.659502314818</v>
      </c>
      <c r="GR19" s="3">
        <v>46122.659502314818</v>
      </c>
      <c r="GU19" s="3">
        <v>46122.659502314818</v>
      </c>
      <c r="HI19">
        <v>0.0000</v>
      </c>
      <c r="HK19" s="3">
        <v>46122.659502314818</v>
      </c>
      <c r="HL19">
        <v>1</v>
      </c>
      <c r="HM19">
        <v>0.0000</v>
      </c>
      <c r="HO19" s="3">
        <v>46122.659502314818</v>
      </c>
      <c r="HP19">
        <v>1</v>
      </c>
      <c r="HX19" t="inlineStr" s="6">
        <f>HYPERLINK("https://metagenicsd365.crm6.dynamics.com/main.aspx?etn=meta_paymentterm&amp;pagetype=entityrecord&amp;id=09fa1132-43a7-e911-a86f-000d3ae10f1f","09fa1132-43a7-e911-a86f-000d3ae10f1f")</f>
        <v>09fa1132-43a7-e911-a86f-000d3ae10f1f</v>
      </c>
      <c r="HY19" t="inlineStr">
        <is>
          <t>30 DAY ACCOUNT</t>
        </is>
      </c>
      <c r="IM19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19" t="inlineStr">
        <is>
          <t># HWORLD</t>
        </is>
      </c>
      <c r="IO19" t="inlineStr" s="6">
        <f>HYPERLINK("https://metagenicsd365.crm6.dynamics.com/main.aspx?etn=meta_segment&amp;pagetype=entityrecord&amp;id=51313601-d44e-ef11-a316-6045bd3f5e56","51313601-d44e-ef11-a316-6045bd3f5e56")</f>
        <v>51313601-d44e-ef11-a316-6045bd3f5e56</v>
      </c>
      <c r="IP19" t="inlineStr">
        <is>
          <t>19 - Time off Territory</t>
        </is>
      </c>
      <c r="IQ19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19" t="inlineStr">
        <is>
          <t>APH0</t>
        </is>
      </c>
      <c r="JE19" t="b">
        <v>0</v>
      </c>
      <c r="JF19" t="inlineStr">
        <is>
          <t>No</t>
        </is>
      </c>
      <c r="JI19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JJ19" t="inlineStr">
        <is>
          <t># HWORLD</t>
        </is>
      </c>
      <c r="JK19" t="inlineStr" s="6">
        <f>HYPERLINK("https://metagenicsd365.crm6.dynamics.com/main.aspx?etn=meta_segment&amp;pagetype=entityrecord&amp;id=51313601-d44e-ef11-a316-6045bd3f5e56","51313601-d44e-ef11-a316-6045bd3f5e56")</f>
        <v>51313601-d44e-ef11-a316-6045bd3f5e56</v>
      </c>
      <c r="JL19" t="inlineStr">
        <is>
          <t>19 - Time off Territory</t>
        </is>
      </c>
      <c r="JM19" t="inlineStr" s="6">
        <f>HYPERLINK("https://metagenicsd365.crm6.dynamics.com/main.aspx?etn=territory&amp;pagetype=entityrecord&amp;id=c64322e5-8030-eb11-a813-000d3ae15585","c64322e5-8030-eb11-a813-000d3ae15585")</f>
        <v>c64322e5-8030-eb11-a813-000d3ae15585</v>
      </c>
      <c r="JN19" t="inlineStr">
        <is>
          <t>ARH0</t>
        </is>
      </c>
      <c r="JT19">
        <v>951850002</v>
      </c>
      <c r="JU19" t="inlineStr">
        <is>
          <t>PRM - Priority Shipping</t>
        </is>
      </c>
      <c r="KB19">
        <v>0.0000</v>
      </c>
      <c r="KD19" s="3">
        <v>46122.659502314818</v>
      </c>
      <c r="KE19">
        <v>1</v>
      </c>
      <c r="KF19">
        <v>0.0000</v>
      </c>
      <c r="KH19" s="3">
        <v>46122.659502314818</v>
      </c>
      <c r="KI19">
        <v>1</v>
      </c>
      <c r="KJ19">
        <v>0.0000</v>
      </c>
      <c r="KL19" s="3">
        <v>46122.659502314818</v>
      </c>
      <c r="KM19">
        <v>1</v>
      </c>
      <c r="KN19" t="b">
        <v>0</v>
      </c>
      <c r="KO19" t="inlineStr">
        <is>
          <t>No</t>
        </is>
      </c>
      <c r="KP19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19" t="inlineStr">
        <is>
          <t>Sriganesh Subramanian</t>
        </is>
      </c>
      <c r="KT19" s="3">
        <v>46086.425092592595</v>
      </c>
      <c r="LA19" t="b">
        <v>0</v>
      </c>
      <c r="LB19" t="inlineStr">
        <is>
          <t>No</t>
        </is>
      </c>
      <c r="LH19" t="inlineStr">
        <is>
          <t>WORK RELATED DAY OFF TERRITORY</t>
        </is>
      </c>
      <c r="LO19">
        <v>0</v>
      </c>
      <c r="LP19" s="3">
        <v>46122.659502314818</v>
      </c>
      <c r="LQ19">
        <v>1</v>
      </c>
      <c r="LR19">
        <v>0.0000</v>
      </c>
      <c r="LS19">
        <v>0.0000</v>
      </c>
      <c r="LT19" s="3">
        <v>46122.659502314818</v>
      </c>
      <c r="LU19">
        <v>1</v>
      </c>
      <c r="LY19" t="inlineStr" s="6">
        <f>HYPERLINK("https://metagenicsd365.crm6.dynamics.com/main.aspx?etn=systemuser&amp;pagetype=entityrecord&amp;id=46bb1569-dff2-ee11-904b-000d3a79c868","46bb1569-dff2-ee11-904b-000d3a79c868")</f>
        <v>46bb1569-dff2-ee11-904b-000d3a79c868</v>
      </c>
      <c r="LZ19" t="inlineStr">
        <is>
          <t>Stephanie Gower</t>
        </is>
      </c>
      <c r="MA19" t="inlineStr">
        <is>
          <t>systemuser</t>
        </is>
      </c>
      <c r="MD19" t="inlineStr" s="6">
        <f>HYPERLINK("https://metagenicsd365.crm6.dynamics.com/main.aspx?etn=businessunit&amp;pagetype=entityrecord&amp;id=bdec92f4-c323-e811-a841-000d3ae0e65e","bdec92f4-c323-e811-a841-000d3ae0e65e")</f>
        <v>bdec92f4-c323-e811-a841-000d3ae0e65e</v>
      </c>
      <c r="ME19" t="inlineStr">
        <is>
          <t>Metagenics D365</t>
        </is>
      </c>
      <c r="MH19" t="inlineStr" s="6">
        <f>HYPERLINK("https://metagenicsd365.crm6.dynamics.com/main.aspx?etn=systemuser&amp;pagetype=entityrecord&amp;id=46bb1569-dff2-ee11-904b-000d3a79c868","46bb1569-dff2-ee11-904b-000d3a79c868")</f>
        <v>46bb1569-dff2-ee11-904b-000d3a79c868</v>
      </c>
      <c r="ML19" t="b">
        <v>0</v>
      </c>
      <c r="MM19" t="inlineStr">
        <is>
          <t>No</t>
        </is>
      </c>
      <c r="MT19">
        <v>1</v>
      </c>
      <c r="MU19" t="inlineStr">
        <is>
          <t>Any</t>
        </is>
      </c>
      <c r="NB19" t="inlineStr" s="6">
        <f>HYPERLINK("https://metagenicsd365.crm6.dynamics.com/main.aspx?etn=contact&amp;pagetype=entityrecord&amp;id=df6bf490-bb32-ef11-8e4e-6045bd3d2a9a","df6bf490-bb32-ef11-8e4e-6045bd3d2a9a")</f>
        <v>df6bf490-bb32-ef11-8e4e-6045bd3d2a9a</v>
      </c>
      <c r="NC19" t="inlineStr">
        <is>
          <t>Stephanie Gower</t>
        </is>
      </c>
      <c r="NF19" t="inlineStr">
        <is>
          <t>00000000-0000-0000-0000-000000000000</t>
        </is>
      </c>
      <c r="NJ19">
        <v>1</v>
      </c>
      <c r="NK19" t="inlineStr">
        <is>
          <t>Airborne</t>
        </is>
      </c>
      <c r="NR19">
        <v>0</v>
      </c>
      <c r="NS19" t="inlineStr">
        <is>
          <t>Active</t>
        </is>
      </c>
      <c r="NT19">
        <v>1</v>
      </c>
      <c r="NU19" t="inlineStr">
        <is>
          <t>Active</t>
        </is>
      </c>
      <c r="OA19">
        <v>1</v>
      </c>
      <c r="OB19" t="inlineStr">
        <is>
          <t>Default Value</t>
        </is>
      </c>
      <c r="OH19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19" t="inlineStr">
        <is>
          <t>Australian Dollar</t>
        </is>
      </c>
      <c r="OL19" t="inlineStr">
        <is>
          <t>0x000000003D832476</t>
        </is>
      </c>
    </row>
    <row r="20">
      <c r="C20">
        <v>1</v>
      </c>
      <c r="D20" t="inlineStr">
        <is>
          <t>Default Value</t>
        </is>
      </c>
      <c r="E20" t="inlineStr" s="6">
        <f>HYPERLINK("https://metagenicsd365.crm6.dynamics.com/main.aspx?etn=account&amp;pagetype=entityrecord&amp;id=f363c674-f04e-ef11-a316-000d3a793080","f363c674-f04e-ef11-a316-000d3a793080")</f>
        <v>f363c674-f04e-ef11-a316-000d3a793080</v>
      </c>
      <c r="G20">
        <v>1</v>
      </c>
      <c r="H20" t="inlineStr">
        <is>
          <t>Default Value</t>
        </is>
      </c>
      <c r="I20" t="inlineStr" s="6">
        <f>HYPERLINK("https://metagenicsd365.crm6.dynamics.com/main.aspx?etn=account&amp;pagetype=entityrecord&amp;id=d9fb73b3-8600-445c-a055-35bc19f03952","d9fb73b3-8600-445c-a055-35bc19f03952")</f>
        <v>d9fb73b3-8600-445c-a055-35bc19f03952</v>
      </c>
      <c r="AJ20" t="inlineStr" s="6">
        <f>HYPERLINK("https://metagenicsd365.crm6.dynamics.com/main.aspx?etn=account&amp;pagetype=entityrecord&amp;id=06b2dd49-2b4a-463a-aa39-af0aad0ae1e2","06b2dd49-2b4a-463a-aa39-af0aad0ae1e2")</f>
        <v>06b2dd49-2b4a-463a-aa39-af0aad0ae1e2</v>
      </c>
      <c r="AK20">
        <v>1</v>
      </c>
      <c r="AL20" t="inlineStr">
        <is>
          <t>Default Value</t>
        </is>
      </c>
      <c r="AR20">
        <v>1</v>
      </c>
      <c r="AS20" t="inlineStr">
        <is>
          <t>Default Value</t>
        </is>
      </c>
      <c r="BC20">
        <v>1</v>
      </c>
      <c r="BD20" t="inlineStr">
        <is>
          <t>Default Value</t>
        </is>
      </c>
      <c r="BU20">
        <v>1</v>
      </c>
      <c r="BV20" t="inlineStr">
        <is>
          <t>Default Value</t>
        </is>
      </c>
      <c r="BY20" t="inlineStr" s="6">
        <f>HYPERLINK("https://metagenicsd365.crm6.dynamics.com/main.aspx?etn=systemuser&amp;pagetype=entityrecord&amp;id=46bb1569-dff2-ee11-904b-000d3a79c868","46bb1569-dff2-ee11-904b-000d3a79c868")</f>
        <v>46bb1569-dff2-ee11-904b-000d3a79c868</v>
      </c>
      <c r="BZ20" t="inlineStr">
        <is>
          <t>Stephanie Gower</t>
        </is>
      </c>
      <c r="CC20" s="3">
        <v>45504.162199074075</v>
      </c>
      <c r="CH20" t="b">
        <v>0</v>
      </c>
      <c r="CI20" t="inlineStr">
        <is>
          <t>No</t>
        </is>
      </c>
      <c r="CJ20">
        <v>1</v>
      </c>
      <c r="CK20" t="inlineStr">
        <is>
          <t>Default Value</t>
        </is>
      </c>
      <c r="CN20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20" t="inlineStr">
        <is>
          <t>All Products Australia</t>
        </is>
      </c>
      <c r="CQ20" t="b">
        <v>0</v>
      </c>
      <c r="CR20" t="inlineStr">
        <is>
          <t>Allow</t>
        </is>
      </c>
      <c r="CS20" t="b">
        <v>0</v>
      </c>
      <c r="CT20" t="inlineStr">
        <is>
          <t>No</t>
        </is>
      </c>
      <c r="CU20" t="b">
        <v>0</v>
      </c>
      <c r="CV20" t="inlineStr">
        <is>
          <t>Allow</t>
        </is>
      </c>
      <c r="CW20" t="b">
        <v>0</v>
      </c>
      <c r="CX20" t="inlineStr">
        <is>
          <t>Allow</t>
        </is>
      </c>
      <c r="CY20" t="b">
        <v>0</v>
      </c>
      <c r="CZ20" t="inlineStr">
        <is>
          <t>Allow</t>
        </is>
      </c>
      <c r="DA20" t="b">
        <v>0</v>
      </c>
      <c r="DB20" t="inlineStr">
        <is>
          <t>Allow</t>
        </is>
      </c>
      <c r="DC20" t="b">
        <v>0</v>
      </c>
      <c r="DD20" t="inlineStr">
        <is>
          <t>Send</t>
        </is>
      </c>
      <c r="DH20" t="inlineStr">
        <is>
          <t>5f020d52-1856-ef11-bfe3-6045bd408c39</t>
        </is>
      </c>
      <c r="DO20">
        <v>1.0000000000</v>
      </c>
      <c r="DQ20" t="b">
        <v>1</v>
      </c>
      <c r="DR20" t="inlineStr">
        <is>
          <t>Allow</t>
        </is>
      </c>
      <c r="EA20" t="b">
        <v>0</v>
      </c>
      <c r="EB20" t="inlineStr">
        <is>
          <t>No</t>
        </is>
      </c>
      <c r="EE20" t="b">
        <v>0</v>
      </c>
      <c r="EF20" t="inlineStr">
        <is>
          <t>No</t>
        </is>
      </c>
      <c r="EJ20" t="inlineStr">
        <is>
          <t>951850000,951850001</t>
        </is>
      </c>
      <c r="EK20" t="inlineStr">
        <is>
          <t>Retail; Practitioner</t>
        </is>
      </c>
      <c r="EO20" t="b">
        <v>0</v>
      </c>
      <c r="EP20" t="inlineStr">
        <is>
          <t>No</t>
        </is>
      </c>
      <c r="FC20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20" t="inlineStr">
        <is>
          <t>Australia</t>
        </is>
      </c>
      <c r="FE20" t="inlineStr">
        <is>
          <t>0000000</t>
        </is>
      </c>
      <c r="FO20" t="b">
        <v>1</v>
      </c>
      <c r="FP20" t="inlineStr">
        <is>
          <t>Yes</t>
        </is>
      </c>
      <c r="FQ20" t="inlineStr">
        <is>
          <t>PRACS</t>
        </is>
      </c>
      <c r="FW20" t="b">
        <v>0</v>
      </c>
      <c r="FX20" t="inlineStr">
        <is>
          <t>No</t>
        </is>
      </c>
      <c r="GD20">
        <v>951850000</v>
      </c>
      <c r="GE20" t="inlineStr">
        <is>
          <t>Pending</t>
        </is>
      </c>
      <c r="GF20">
        <v>0.0000</v>
      </c>
      <c r="GG20">
        <v>0.0000</v>
      </c>
      <c r="GH20" s="3">
        <v>46122.659502314818</v>
      </c>
      <c r="GI20">
        <v>1</v>
      </c>
      <c r="GJ20" t="b">
        <v>1</v>
      </c>
      <c r="GK20" t="inlineStr">
        <is>
          <t>Yes</t>
        </is>
      </c>
      <c r="GL20" t="b">
        <v>1</v>
      </c>
      <c r="GM20" t="inlineStr">
        <is>
          <t>Yes</t>
        </is>
      </c>
      <c r="GO20" s="3">
        <v>46122.659502314818</v>
      </c>
      <c r="GR20" s="3">
        <v>46122.659502314818</v>
      </c>
      <c r="GU20" s="3">
        <v>46122.659502314818</v>
      </c>
      <c r="HI20">
        <v>0.0000</v>
      </c>
      <c r="HK20" s="3">
        <v>46122.659502314818</v>
      </c>
      <c r="HL20">
        <v>1</v>
      </c>
      <c r="HM20">
        <v>0.0000</v>
      </c>
      <c r="HO20" s="3">
        <v>46122.659502314818</v>
      </c>
      <c r="HP20">
        <v>1</v>
      </c>
      <c r="HX20" t="inlineStr" s="6">
        <f>HYPERLINK("https://metagenicsd365.crm6.dynamics.com/main.aspx?etn=meta_paymentterm&amp;pagetype=entityrecord&amp;id=09fa1132-43a7-e911-a86f-000d3ae10f1f","09fa1132-43a7-e911-a86f-000d3ae10f1f")</f>
        <v>09fa1132-43a7-e911-a86f-000d3ae10f1f</v>
      </c>
      <c r="HY20" t="inlineStr">
        <is>
          <t>30 DAY ACCOUNT</t>
        </is>
      </c>
      <c r="IM20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20" t="inlineStr">
        <is>
          <t># HWORLD</t>
        </is>
      </c>
      <c r="IO20" t="inlineStr" s="6">
        <f>HYPERLINK("https://metagenicsd365.crm6.dynamics.com/main.aspx?etn=meta_segment&amp;pagetype=entityrecord&amp;id=51313601-d44e-ef11-a316-6045bd3f5e56","51313601-d44e-ef11-a316-6045bd3f5e56")</f>
        <v>51313601-d44e-ef11-a316-6045bd3f5e56</v>
      </c>
      <c r="IP20" t="inlineStr">
        <is>
          <t>19 - Time off Territory</t>
        </is>
      </c>
      <c r="IQ20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20" t="inlineStr">
        <is>
          <t>APH0</t>
        </is>
      </c>
      <c r="JE20" t="b">
        <v>0</v>
      </c>
      <c r="JF20" t="inlineStr">
        <is>
          <t>No</t>
        </is>
      </c>
      <c r="JI20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JJ20" t="inlineStr">
        <is>
          <t># HWORLD</t>
        </is>
      </c>
      <c r="JK20" t="inlineStr" s="6">
        <f>HYPERLINK("https://metagenicsd365.crm6.dynamics.com/main.aspx?etn=meta_segment&amp;pagetype=entityrecord&amp;id=51313601-d44e-ef11-a316-6045bd3f5e56","51313601-d44e-ef11-a316-6045bd3f5e56")</f>
        <v>51313601-d44e-ef11-a316-6045bd3f5e56</v>
      </c>
      <c r="JL20" t="inlineStr">
        <is>
          <t>19 - Time off Territory</t>
        </is>
      </c>
      <c r="JM20" t="inlineStr" s="6">
        <f>HYPERLINK("https://metagenicsd365.crm6.dynamics.com/main.aspx?etn=territory&amp;pagetype=entityrecord&amp;id=c64322e5-8030-eb11-a813-000d3ae15585","c64322e5-8030-eb11-a813-000d3ae15585")</f>
        <v>c64322e5-8030-eb11-a813-000d3ae15585</v>
      </c>
      <c r="JN20" t="inlineStr">
        <is>
          <t>ARH0</t>
        </is>
      </c>
      <c r="JT20">
        <v>951850002</v>
      </c>
      <c r="JU20" t="inlineStr">
        <is>
          <t>PRM - Priority Shipping</t>
        </is>
      </c>
      <c r="KB20">
        <v>0.0000</v>
      </c>
      <c r="KD20" s="3">
        <v>46122.659502314818</v>
      </c>
      <c r="KE20">
        <v>1</v>
      </c>
      <c r="KF20">
        <v>0.0000</v>
      </c>
      <c r="KH20" s="3">
        <v>46122.659502314818</v>
      </c>
      <c r="KI20">
        <v>1</v>
      </c>
      <c r="KJ20">
        <v>0.0000</v>
      </c>
      <c r="KL20" s="3">
        <v>46122.659502314818</v>
      </c>
      <c r="KM20">
        <v>1</v>
      </c>
      <c r="KN20" t="b">
        <v>0</v>
      </c>
      <c r="KO20" t="inlineStr">
        <is>
          <t>No</t>
        </is>
      </c>
      <c r="KP20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20" t="inlineStr">
        <is>
          <t>Sriganesh Subramanian</t>
        </is>
      </c>
      <c r="KT20" s="3">
        <v>46086.423634259256</v>
      </c>
      <c r="LA20" t="b">
        <v>0</v>
      </c>
      <c r="LB20" t="inlineStr">
        <is>
          <t>No</t>
        </is>
      </c>
      <c r="LH20" t="inlineStr">
        <is>
          <t>NON-WORK RELATED DAY OFF TERRITORY</t>
        </is>
      </c>
      <c r="LO20">
        <v>0</v>
      </c>
      <c r="LP20" s="3">
        <v>46122.659502314818</v>
      </c>
      <c r="LQ20">
        <v>1</v>
      </c>
      <c r="LR20">
        <v>0.0000</v>
      </c>
      <c r="LS20">
        <v>0.0000</v>
      </c>
      <c r="LT20" s="3">
        <v>46122.659502314818</v>
      </c>
      <c r="LU20">
        <v>1</v>
      </c>
      <c r="LY20" t="inlineStr" s="6">
        <f>HYPERLINK("https://metagenicsd365.crm6.dynamics.com/main.aspx?etn=systemuser&amp;pagetype=entityrecord&amp;id=46bb1569-dff2-ee11-904b-000d3a79c868","46bb1569-dff2-ee11-904b-000d3a79c868")</f>
        <v>46bb1569-dff2-ee11-904b-000d3a79c868</v>
      </c>
      <c r="LZ20" t="inlineStr">
        <is>
          <t>Stephanie Gower</t>
        </is>
      </c>
      <c r="MA20" t="inlineStr">
        <is>
          <t>systemuser</t>
        </is>
      </c>
      <c r="MD20" t="inlineStr" s="6">
        <f>HYPERLINK("https://metagenicsd365.crm6.dynamics.com/main.aspx?etn=businessunit&amp;pagetype=entityrecord&amp;id=bdec92f4-c323-e811-a841-000d3ae0e65e","bdec92f4-c323-e811-a841-000d3ae0e65e")</f>
        <v>bdec92f4-c323-e811-a841-000d3ae0e65e</v>
      </c>
      <c r="ME20" t="inlineStr">
        <is>
          <t>Metagenics D365</t>
        </is>
      </c>
      <c r="MH20" t="inlineStr" s="6">
        <f>HYPERLINK("https://metagenicsd365.crm6.dynamics.com/main.aspx?etn=systemuser&amp;pagetype=entityrecord&amp;id=46bb1569-dff2-ee11-904b-000d3a79c868","46bb1569-dff2-ee11-904b-000d3a79c868")</f>
        <v>46bb1569-dff2-ee11-904b-000d3a79c868</v>
      </c>
      <c r="ML20" t="b">
        <v>0</v>
      </c>
      <c r="MM20" t="inlineStr">
        <is>
          <t>No</t>
        </is>
      </c>
      <c r="MT20">
        <v>1</v>
      </c>
      <c r="MU20" t="inlineStr">
        <is>
          <t>Any</t>
        </is>
      </c>
      <c r="NB20" t="inlineStr" s="6">
        <f>HYPERLINK("https://metagenicsd365.crm6.dynamics.com/main.aspx?etn=contact&amp;pagetype=entityrecord&amp;id=df6bf490-bb32-ef11-8e4e-6045bd3d2a9a","df6bf490-bb32-ef11-8e4e-6045bd3d2a9a")</f>
        <v>df6bf490-bb32-ef11-8e4e-6045bd3d2a9a</v>
      </c>
      <c r="NC20" t="inlineStr">
        <is>
          <t>Stephanie Gower</t>
        </is>
      </c>
      <c r="NF20" t="inlineStr">
        <is>
          <t>00000000-0000-0000-0000-000000000000</t>
        </is>
      </c>
      <c r="NJ20">
        <v>1</v>
      </c>
      <c r="NK20" t="inlineStr">
        <is>
          <t>Airborne</t>
        </is>
      </c>
      <c r="NR20">
        <v>0</v>
      </c>
      <c r="NS20" t="inlineStr">
        <is>
          <t>Active</t>
        </is>
      </c>
      <c r="NT20">
        <v>1</v>
      </c>
      <c r="NU20" t="inlineStr">
        <is>
          <t>Active</t>
        </is>
      </c>
      <c r="OA20">
        <v>1</v>
      </c>
      <c r="OB20" t="inlineStr">
        <is>
          <t>Default Value</t>
        </is>
      </c>
      <c r="OH20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20" t="inlineStr">
        <is>
          <t>Australian Dollar</t>
        </is>
      </c>
      <c r="OL20" t="inlineStr">
        <is>
          <t>0x000000003D831569</t>
        </is>
      </c>
    </row>
    <row r="21">
      <c r="C21">
        <v>1</v>
      </c>
      <c r="D21" t="inlineStr">
        <is>
          <t>Default Value</t>
        </is>
      </c>
      <c r="E21" t="inlineStr" s="6">
        <f>HYPERLINK("https://metagenicsd365.crm6.dynamics.com/main.aspx?etn=account&amp;pagetype=entityrecord&amp;id=dd50d657-4f50-ef11-a316-000d3a793080","dd50d657-4f50-ef11-a316-000d3a793080")</f>
        <v>dd50d657-4f50-ef11-a316-000d3a793080</v>
      </c>
      <c r="F21" t="inlineStr">
        <is>
          <t>000001060194</t>
        </is>
      </c>
      <c r="G21">
        <v>1</v>
      </c>
      <c r="H21" t="inlineStr">
        <is>
          <t>Default Value</t>
        </is>
      </c>
      <c r="I21" t="inlineStr" s="6">
        <f>HYPERLINK("https://metagenicsd365.crm6.dynamics.com/main.aspx?etn=account&amp;pagetype=entityrecord&amp;id=a3345399-b5eb-418a-93c7-b06b7567a357","a3345399-b5eb-418a-93c7-b06b7567a357")</f>
        <v>a3345399-b5eb-418a-93c7-b06b7567a357</v>
      </c>
      <c r="L21" t="inlineStr">
        <is>
          <t>/meta_suburbs(baf8c66d-b6a7-e911-a86f-000d3ae10f1f)</t>
        </is>
      </c>
      <c r="M21" t="inlineStr">
        <is>
          <t>49 OCEAN BEACH ROAD
/meta_suburbs(baf8c66d-b6a7-e911-a86f-000d3ae10f1f), WA</t>
        </is>
      </c>
      <c r="T21" t="inlineStr">
        <is>
          <t>49 OCEAN BEACH ROAD</t>
        </is>
      </c>
      <c r="AD21" t="inlineStr">
        <is>
          <t>WA</t>
        </is>
      </c>
      <c r="AE21" t="inlineStr">
        <is>
          <t>0421 178 269</t>
        </is>
      </c>
      <c r="AJ21" t="inlineStr" s="6">
        <f>HYPERLINK("https://metagenicsd365.crm6.dynamics.com/main.aspx?etn=account&amp;pagetype=entityrecord&amp;id=d8a2f1f3-7e3b-41a9-9ec6-042b514c7c7b","d8a2f1f3-7e3b-41a9-9ec6-042b514c7c7b")</f>
        <v>d8a2f1f3-7e3b-41a9-9ec6-042b514c7c7b</v>
      </c>
      <c r="AK21">
        <v>1</v>
      </c>
      <c r="AL21" t="inlineStr">
        <is>
          <t>Default Value</t>
        </is>
      </c>
      <c r="AM21" t="inlineStr">
        <is>
          <t>/meta_suburbs(baf8c66d-b6a7-e911-a86f-000d3ae10f1f)</t>
        </is>
      </c>
      <c r="AN21" t="inlineStr">
        <is>
          <t>49 OCEAN BEACH ROAD
/meta_suburbs(baf8c66d-b6a7-e911-a86f-000d3ae10f1f), WA</t>
        </is>
      </c>
      <c r="AR21">
        <v>1</v>
      </c>
      <c r="AS21" t="inlineStr">
        <is>
          <t>Default Value</t>
        </is>
      </c>
      <c r="AU21" t="inlineStr">
        <is>
          <t>49 OCEAN BEACH ROAD</t>
        </is>
      </c>
      <c r="BC21">
        <v>1</v>
      </c>
      <c r="BD21" t="inlineStr">
        <is>
          <t>Default Value</t>
        </is>
      </c>
      <c r="BE21" t="inlineStr">
        <is>
          <t>WA</t>
        </is>
      </c>
      <c r="BU21">
        <v>1</v>
      </c>
      <c r="BV21" t="inlineStr">
        <is>
          <t>Default Value</t>
        </is>
      </c>
      <c r="BY21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21" t="inlineStr">
        <is>
          <t>SVC_D365_CE #</t>
        </is>
      </c>
      <c r="CC21" s="3">
        <v>45505.906539351854</v>
      </c>
      <c r="CH21" t="b">
        <v>0</v>
      </c>
      <c r="CI21" t="inlineStr">
        <is>
          <t>No</t>
        </is>
      </c>
      <c r="CJ21">
        <v>1</v>
      </c>
      <c r="CK21" t="inlineStr">
        <is>
          <t>Default Value</t>
        </is>
      </c>
      <c r="CN21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21" t="inlineStr">
        <is>
          <t>All Products Australia</t>
        </is>
      </c>
      <c r="CQ21" t="b">
        <v>0</v>
      </c>
      <c r="CR21" t="inlineStr">
        <is>
          <t>Allow</t>
        </is>
      </c>
      <c r="CS21" t="b">
        <v>0</v>
      </c>
      <c r="CT21" t="inlineStr">
        <is>
          <t>No</t>
        </is>
      </c>
      <c r="CU21" t="b">
        <v>0</v>
      </c>
      <c r="CV21" t="inlineStr">
        <is>
          <t>Allow</t>
        </is>
      </c>
      <c r="CW21" t="b">
        <v>0</v>
      </c>
      <c r="CX21" t="inlineStr">
        <is>
          <t>Allow</t>
        </is>
      </c>
      <c r="CY21" t="b">
        <v>0</v>
      </c>
      <c r="CZ21" t="inlineStr">
        <is>
          <t>Allow</t>
        </is>
      </c>
      <c r="DA21" t="b">
        <v>0</v>
      </c>
      <c r="DB21" t="inlineStr">
        <is>
          <t>Allow</t>
        </is>
      </c>
      <c r="DC21" t="b">
        <v>0</v>
      </c>
      <c r="DD21" t="inlineStr">
        <is>
          <t>Send</t>
        </is>
      </c>
      <c r="DE21" t="inlineStr">
        <is>
          <t>charlotte_hellmundt@hotmail.com</t>
        </is>
      </c>
      <c r="DF21" t="inlineStr">
        <is>
          <t>charlotte_hellmundt@hotmail.com</t>
        </is>
      </c>
      <c r="DO21">
        <v>1.0000000000</v>
      </c>
      <c r="DQ21" t="b">
        <v>1</v>
      </c>
      <c r="DR21" t="inlineStr">
        <is>
          <t>Allow</t>
        </is>
      </c>
      <c r="EA21" t="b">
        <v>0</v>
      </c>
      <c r="EB21" t="inlineStr">
        <is>
          <t>No</t>
        </is>
      </c>
      <c r="EE21" t="b">
        <v>0</v>
      </c>
      <c r="EF21" t="inlineStr">
        <is>
          <t>No</t>
        </is>
      </c>
      <c r="EG21" t="inlineStr">
        <is>
          <t>No</t>
        </is>
      </c>
      <c r="EJ21" t="inlineStr">
        <is>
          <t>951850001</t>
        </is>
      </c>
      <c r="EK21" t="inlineStr">
        <is>
          <t>Practitioner</t>
        </is>
      </c>
      <c r="EL21" s="3">
        <v>45505.906134259261</v>
      </c>
      <c r="EM21" s="3">
        <v>93138.99998842593</v>
      </c>
      <c r="EN21" t="inlineStr">
        <is>
          <t>PRAC</t>
        </is>
      </c>
      <c r="EO21" t="b">
        <v>0</v>
      </c>
      <c r="EP21" t="inlineStr">
        <is>
          <t>No</t>
        </is>
      </c>
      <c r="EQ21" t="inlineStr">
        <is>
          <t>No</t>
        </is>
      </c>
      <c r="EU21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21" t="inlineStr">
        <is>
          <t>Australia</t>
        </is>
      </c>
      <c r="EW21">
        <v>951850003</v>
      </c>
      <c r="EX21" t="inlineStr">
        <is>
          <t>PRA01</t>
        </is>
      </c>
      <c r="EY21" t="inlineStr" s="6">
        <f>HYPERLINK("https://metagenicsd365.crm6.dynamics.com/main.aspx?etn=meta_postcode&amp;pagetype=entityrecord&amp;id=2ae7b937-b2a7-e911-a86f-000d3ae10f1f","2ae7b937-b2a7-e911-a86f-000d3ae10f1f")</f>
        <v>2ae7b937-b2a7-e911-a86f-000d3ae10f1f</v>
      </c>
      <c r="EZ21" t="inlineStr">
        <is>
          <t>6333</t>
        </is>
      </c>
      <c r="FA21" t="inlineStr" s="6">
        <f>HYPERLINK("https://metagenicsd365.crm6.dynamics.com/main.aspx?etn=meta_suburb&amp;pagetype=entityrecord&amp;id=baf8c66d-b6a7-e911-a86f-000d3ae10f1f","baf8c66d-b6a7-e911-a86f-000d3ae10f1f")</f>
        <v>baf8c66d-b6a7-e911-a86f-000d3ae10f1f</v>
      </c>
      <c r="FB21" t="inlineStr">
        <is>
          <t>DENMARK</t>
        </is>
      </c>
      <c r="FC21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21" t="inlineStr">
        <is>
          <t>Australia</t>
        </is>
      </c>
      <c r="FE21" t="inlineStr">
        <is>
          <t>0000000000001060194</t>
        </is>
      </c>
      <c r="FM21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21" t="inlineStr">
        <is>
          <t>Australia</t>
        </is>
      </c>
      <c r="FO21" t="b">
        <v>1</v>
      </c>
      <c r="FP21" t="inlineStr">
        <is>
          <t>Yes</t>
        </is>
      </c>
      <c r="FQ21" t="inlineStr">
        <is>
          <t>PRACS</t>
        </is>
      </c>
      <c r="FW21" t="b">
        <v>0</v>
      </c>
      <c r="FX21" t="inlineStr">
        <is>
          <t>No</t>
        </is>
      </c>
      <c r="GA21" t="inlineStr">
        <is>
          <t>ABL10085394</t>
        </is>
      </c>
      <c r="GD21">
        <v>951850000</v>
      </c>
      <c r="GE21" t="inlineStr">
        <is>
          <t>Pending</t>
        </is>
      </c>
      <c r="GF21">
        <v>0.0000</v>
      </c>
      <c r="GG21">
        <v>0.0000</v>
      </c>
      <c r="GH21" s="3">
        <v>46122.659502314818</v>
      </c>
      <c r="GI21">
        <v>1</v>
      </c>
      <c r="GJ21" t="b">
        <v>1</v>
      </c>
      <c r="GK21" t="inlineStr">
        <is>
          <t>Yes</t>
        </is>
      </c>
      <c r="GO21" s="3">
        <v>46122.659502314818</v>
      </c>
      <c r="GR21" s="3">
        <v>46122.659502314818</v>
      </c>
      <c r="GU21" s="3">
        <v>46122.659502314818</v>
      </c>
      <c r="GY21" t="inlineStr">
        <is>
          <t>000001060194</t>
        </is>
      </c>
      <c r="HB21" t="inlineStr">
        <is>
          <t>CHARLOTTE HELLMUNDT</t>
        </is>
      </c>
      <c r="HI21">
        <v>0.0000</v>
      </c>
      <c r="HK21" s="3">
        <v>46122.659502314818</v>
      </c>
      <c r="HL21">
        <v>1</v>
      </c>
      <c r="HM21">
        <v>0.0000</v>
      </c>
      <c r="HN21">
        <v>0.0000</v>
      </c>
      <c r="HO21" s="3">
        <v>46122.659502314818</v>
      </c>
      <c r="HP21">
        <v>1</v>
      </c>
      <c r="HX21" t="inlineStr" s="6">
        <f>HYPERLINK("https://metagenicsd365.crm6.dynamics.com/main.aspx?etn=meta_paymentterm&amp;pagetype=entityrecord&amp;id=31971c9d-38ba-eb11-8236-00224817f624","31971c9d-38ba-eb11-8236-00224817f624")</f>
        <v>31971c9d-38ba-eb11-8236-00224817f624</v>
      </c>
      <c r="HY21" t="inlineStr">
        <is>
          <t>Cash</t>
        </is>
      </c>
      <c r="IC21" t="inlineStr">
        <is>
          <t>WA</t>
        </is>
      </c>
      <c r="ID21" t="inlineStr">
        <is>
          <t>49 OCEAN BEACH ROAD</t>
        </is>
      </c>
      <c r="IE21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21" t="inlineStr">
        <is>
          <t>Australia</t>
        </is>
      </c>
      <c r="IG21" t="inlineStr" s="6">
        <f>HYPERLINK("https://metagenicsd365.crm6.dynamics.com/main.aspx?etn=meta_postcode&amp;pagetype=entityrecord&amp;id=2ae7b937-b2a7-e911-a86f-000d3ae10f1f","2ae7b937-b2a7-e911-a86f-000d3ae10f1f")</f>
        <v>2ae7b937-b2a7-e911-a86f-000d3ae10f1f</v>
      </c>
      <c r="IH21" t="inlineStr">
        <is>
          <t>6333</t>
        </is>
      </c>
      <c r="II21" t="inlineStr" s="6">
        <f>HYPERLINK("https://metagenicsd365.crm6.dynamics.com/main.aspx?etn=meta_suburb&amp;pagetype=entityrecord&amp;id=baf8c66d-b6a7-e911-a86f-000d3ae10f1f","baf8c66d-b6a7-e911-a86f-000d3ae10f1f")</f>
        <v>baf8c66d-b6a7-e911-a86f-000d3ae10f1f</v>
      </c>
      <c r="IJ21" t="inlineStr">
        <is>
          <t>DENMARK</t>
        </is>
      </c>
      <c r="IK21" t="inlineStr" s="6">
        <f>HYPERLINK("https://metagenicsd365.crm6.dynamics.com/main.aspx?etn=meta_postcode&amp;pagetype=entityrecord&amp;id=2ae7b937-b2a7-e911-a86f-000d3ae10f1f","2ae7b937-b2a7-e911-a86f-000d3ae10f1f")</f>
        <v>2ae7b937-b2a7-e911-a86f-000d3ae10f1f</v>
      </c>
      <c r="IL21" t="inlineStr">
        <is>
          <t>6333</t>
        </is>
      </c>
      <c r="IM21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21" t="inlineStr">
        <is>
          <t># HWORLD</t>
        </is>
      </c>
      <c r="IO21" t="inlineStr" s="6">
        <f>HYPERLINK("https://metagenicsd365.crm6.dynamics.com/main.aspx?etn=meta_segment&amp;pagetype=entityrecord&amp;id=44e3a56e-8030-eb11-a813-000d3ae15585","44e3a56e-8030-eb11-a813-000d3ae15585")</f>
        <v>44e3a56e-8030-eb11-a813-000d3ae15585</v>
      </c>
      <c r="IP21" t="inlineStr">
        <is>
          <t>10 - New accounts opened</t>
        </is>
      </c>
      <c r="IQ21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21" t="inlineStr">
        <is>
          <t>APH0</t>
        </is>
      </c>
      <c r="IZ21">
        <v>951850000</v>
      </c>
      <c r="JA21" t="inlineStr">
        <is>
          <t>Billing</t>
        </is>
      </c>
      <c r="JE21" t="b">
        <v>0</v>
      </c>
      <c r="JF21" t="inlineStr">
        <is>
          <t>No</t>
        </is>
      </c>
      <c r="JT21">
        <v>951850002</v>
      </c>
      <c r="JU21" t="inlineStr">
        <is>
          <t>PRM - Priority Shipping</t>
        </is>
      </c>
      <c r="JY21" t="inlineStr" s="6">
        <f>HYPERLINK("https://metagenicsd365.crm6.dynamics.com/main.aspx?etn=meta_suburb&amp;pagetype=entityrecord&amp;id=baf8c66d-b6a7-e911-a86f-000d3ae10f1f","baf8c66d-b6a7-e911-a86f-000d3ae10f1f")</f>
        <v>baf8c66d-b6a7-e911-a86f-000d3ae10f1f</v>
      </c>
      <c r="JZ21" t="inlineStr">
        <is>
          <t>DENMARK</t>
        </is>
      </c>
      <c r="KB21">
        <v>0.0000</v>
      </c>
      <c r="KD21" s="3">
        <v>46122.659502314818</v>
      </c>
      <c r="KE21">
        <v>1</v>
      </c>
      <c r="KF21">
        <v>0.0000</v>
      </c>
      <c r="KG21">
        <v>0.0000</v>
      </c>
      <c r="KH21" s="3">
        <v>46122.659502314818</v>
      </c>
      <c r="KI21">
        <v>1</v>
      </c>
      <c r="KJ21">
        <v>0.0000</v>
      </c>
      <c r="KK21">
        <v>0.0000</v>
      </c>
      <c r="KL21" s="3">
        <v>46122.659502314818</v>
      </c>
      <c r="KM21">
        <v>1</v>
      </c>
      <c r="KN21" t="b">
        <v>0</v>
      </c>
      <c r="KO21" t="inlineStr">
        <is>
          <t>No</t>
        </is>
      </c>
      <c r="KP21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21" t="inlineStr">
        <is>
          <t>Sriganesh Subramanian</t>
        </is>
      </c>
      <c r="KT21" s="3">
        <v>46086.421377314815</v>
      </c>
      <c r="LA21" t="b">
        <v>0</v>
      </c>
      <c r="LB21" t="inlineStr">
        <is>
          <t>No</t>
        </is>
      </c>
      <c r="LH21" t="inlineStr">
        <is>
          <t>CHARLOTTE HELLMUNDT</t>
        </is>
      </c>
      <c r="LO21">
        <v>0</v>
      </c>
      <c r="LP21" s="3">
        <v>46122.659502314818</v>
      </c>
      <c r="LQ21">
        <v>1</v>
      </c>
      <c r="LR21">
        <v>0.0000</v>
      </c>
      <c r="LS21">
        <v>0.0000</v>
      </c>
      <c r="LT21" s="3">
        <v>46122.659502314818</v>
      </c>
      <c r="LU21">
        <v>1</v>
      </c>
      <c r="LY21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21" t="inlineStr">
        <is>
          <t>Australia</t>
        </is>
      </c>
      <c r="MA21" t="inlineStr">
        <is>
          <t>team</t>
        </is>
      </c>
      <c r="MD21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21" t="inlineStr">
        <is>
          <t>Australia</t>
        </is>
      </c>
      <c r="MF21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L21" t="b">
        <v>0</v>
      </c>
      <c r="MM21" t="inlineStr">
        <is>
          <t>No</t>
        </is>
      </c>
      <c r="MT21">
        <v>1</v>
      </c>
      <c r="MU21" t="inlineStr">
        <is>
          <t>Any</t>
        </is>
      </c>
      <c r="NB21" t="inlineStr" s="6">
        <f>HYPERLINK("https://metagenicsd365.crm6.dynamics.com/main.aspx?etn=contact&amp;pagetype=entityrecord&amp;id=27114b59-4f50-ef11-a316-6045bd408c39","27114b59-4f50-ef11-a316-6045bd408c39")</f>
        <v>27114b59-4f50-ef11-a316-6045bd408c39</v>
      </c>
      <c r="NC21" t="inlineStr">
        <is>
          <t>CHARLOTTE HELLMUNDT OSTEOPATH</t>
        </is>
      </c>
      <c r="NJ21">
        <v>1</v>
      </c>
      <c r="NK21" t="inlineStr">
        <is>
          <t>Airborne</t>
        </is>
      </c>
      <c r="NR21">
        <v>0</v>
      </c>
      <c r="NS21" t="inlineStr">
        <is>
          <t>Active</t>
        </is>
      </c>
      <c r="NT21">
        <v>1</v>
      </c>
      <c r="NU21" t="inlineStr">
        <is>
          <t>Active</t>
        </is>
      </c>
      <c r="NX21" t="inlineStr">
        <is>
          <t>0421 178 269</t>
        </is>
      </c>
      <c r="NY21" t="inlineStr">
        <is>
          <t>0421 178 269</t>
        </is>
      </c>
      <c r="OA21">
        <v>1</v>
      </c>
      <c r="OB21" t="inlineStr">
        <is>
          <t>Default Value</t>
        </is>
      </c>
      <c r="OG21">
        <v>0</v>
      </c>
      <c r="OH21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21" t="inlineStr">
        <is>
          <t>Australian Dollar</t>
        </is>
      </c>
      <c r="OL21" t="inlineStr">
        <is>
          <t>0x000000003D82FBED</t>
        </is>
      </c>
    </row>
    <row r="22">
      <c r="C22">
        <v>1</v>
      </c>
      <c r="D22" t="inlineStr">
        <is>
          <t>Default Value</t>
        </is>
      </c>
      <c r="E22" t="inlineStr" s="6">
        <f>HYPERLINK("https://metagenicsd365.crm6.dynamics.com/main.aspx?etn=account&amp;pagetype=entityrecord&amp;id=4679a2ae-6c50-ef11-a316-000d3a793080","4679a2ae-6c50-ef11-a316-000d3a793080")</f>
        <v>4679a2ae-6c50-ef11-a316-000d3a793080</v>
      </c>
      <c r="F22" t="inlineStr">
        <is>
          <t>000001060212</t>
        </is>
      </c>
      <c r="G22">
        <v>1</v>
      </c>
      <c r="H22" t="inlineStr">
        <is>
          <t>Default Value</t>
        </is>
      </c>
      <c r="I22" t="inlineStr" s="6">
        <f>HYPERLINK("https://metagenicsd365.crm6.dynamics.com/main.aspx?etn=account&amp;pagetype=entityrecord&amp;id=b33f0088-66e5-4de0-ad7e-5dd15e693783","b33f0088-66e5-4de0-ad7e-5dd15e693783")</f>
        <v>b33f0088-66e5-4de0-ad7e-5dd15e693783</v>
      </c>
      <c r="M22" t="inlineStr">
        <is>
          <t>5 SAFORD STREET
NSW</t>
        </is>
      </c>
      <c r="T22" t="inlineStr">
        <is>
          <t>5 SAFORD STREET</t>
        </is>
      </c>
      <c r="AD22" t="inlineStr">
        <is>
          <t>NSW</t>
        </is>
      </c>
      <c r="AJ22" t="inlineStr" s="6">
        <f>HYPERLINK("https://metagenicsd365.crm6.dynamics.com/main.aspx?etn=account&amp;pagetype=entityrecord&amp;id=dfe4c49a-d074-456d-b3ef-2e165682e4a1","dfe4c49a-d074-456d-b3ef-2e165682e4a1")</f>
        <v>dfe4c49a-d074-456d-b3ef-2e165682e4a1</v>
      </c>
      <c r="AK22">
        <v>1</v>
      </c>
      <c r="AL22" t="inlineStr">
        <is>
          <t>Default Value</t>
        </is>
      </c>
      <c r="AN22" t="inlineStr">
        <is>
          <t>5 SAFORD STREET
NSW</t>
        </is>
      </c>
      <c r="AR22">
        <v>1</v>
      </c>
      <c r="AS22" t="inlineStr">
        <is>
          <t>Default Value</t>
        </is>
      </c>
      <c r="AU22" t="inlineStr">
        <is>
          <t>5 SAFORD STREET</t>
        </is>
      </c>
      <c r="BC22">
        <v>1</v>
      </c>
      <c r="BD22" t="inlineStr">
        <is>
          <t>Default Value</t>
        </is>
      </c>
      <c r="BE22" t="inlineStr">
        <is>
          <t>NSW</t>
        </is>
      </c>
      <c r="BU22">
        <v>1</v>
      </c>
      <c r="BV22" t="inlineStr">
        <is>
          <t>Default Value</t>
        </is>
      </c>
      <c r="BY22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22" t="inlineStr">
        <is>
          <t>SVC_D365_CE #</t>
        </is>
      </c>
      <c r="CC22" s="3">
        <v>45506.052372685182</v>
      </c>
      <c r="CH22" t="b">
        <v>0</v>
      </c>
      <c r="CI22" t="inlineStr">
        <is>
          <t>No</t>
        </is>
      </c>
      <c r="CJ22">
        <v>1</v>
      </c>
      <c r="CK22" t="inlineStr">
        <is>
          <t>Default Value</t>
        </is>
      </c>
      <c r="CQ22" t="b">
        <v>0</v>
      </c>
      <c r="CR22" t="inlineStr">
        <is>
          <t>Allow</t>
        </is>
      </c>
      <c r="CS22" t="b">
        <v>0</v>
      </c>
      <c r="CT22" t="inlineStr">
        <is>
          <t>No</t>
        </is>
      </c>
      <c r="CU22" t="b">
        <v>0</v>
      </c>
      <c r="CV22" t="inlineStr">
        <is>
          <t>Allow</t>
        </is>
      </c>
      <c r="CW22" t="b">
        <v>0</v>
      </c>
      <c r="CX22" t="inlineStr">
        <is>
          <t>Allow</t>
        </is>
      </c>
      <c r="CY22" t="b">
        <v>0</v>
      </c>
      <c r="CZ22" t="inlineStr">
        <is>
          <t>Allow</t>
        </is>
      </c>
      <c r="DA22" t="b">
        <v>0</v>
      </c>
      <c r="DB22" t="inlineStr">
        <is>
          <t>Allow</t>
        </is>
      </c>
      <c r="DC22" t="b">
        <v>0</v>
      </c>
      <c r="DD22" t="inlineStr">
        <is>
          <t>Send</t>
        </is>
      </c>
      <c r="DO22">
        <v>1.0000000000</v>
      </c>
      <c r="DQ22" t="b">
        <v>1</v>
      </c>
      <c r="DR22" t="inlineStr">
        <is>
          <t>Allow</t>
        </is>
      </c>
      <c r="EA22" t="b">
        <v>0</v>
      </c>
      <c r="EB22" t="inlineStr">
        <is>
          <t>No</t>
        </is>
      </c>
      <c r="EE22" t="b">
        <v>0</v>
      </c>
      <c r="EF22" t="inlineStr">
        <is>
          <t>No</t>
        </is>
      </c>
      <c r="EG22" t="inlineStr">
        <is>
          <t>No</t>
        </is>
      </c>
      <c r="EO22" t="b">
        <v>0</v>
      </c>
      <c r="EP22" t="inlineStr">
        <is>
          <t>No</t>
        </is>
      </c>
      <c r="EQ22" t="inlineStr">
        <is>
          <t>Yes</t>
        </is>
      </c>
      <c r="EU22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22" t="inlineStr">
        <is>
          <t>Australia</t>
        </is>
      </c>
      <c r="EY22" t="inlineStr" s="6">
        <f>HYPERLINK("https://metagenicsd365.crm6.dynamics.com/main.aspx?etn=meta_postcode&amp;pagetype=entityrecord&amp;id=fddafa30-b2a7-e911-a875-000d3ae104e7","fddafa30-b2a7-e911-a875-000d3ae104e7")</f>
        <v>fddafa30-b2a7-e911-a875-000d3ae104e7</v>
      </c>
      <c r="EZ22" t="inlineStr">
        <is>
          <t>2087</t>
        </is>
      </c>
      <c r="FA22" t="inlineStr" s="6">
        <f>HYPERLINK("https://metagenicsd365.crm6.dynamics.com/main.aspx?etn=meta_suburb&amp;pagetype=entityrecord&amp;id=b8689a78-b4a7-e911-a873-000d3ae10139","b8689a78-b4a7-e911-a873-000d3ae10139")</f>
        <v>b8689a78-b4a7-e911-a873-000d3ae10139</v>
      </c>
      <c r="FB22" t="inlineStr">
        <is>
          <t>FORESTVILLE</t>
        </is>
      </c>
      <c r="FC22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22" t="inlineStr">
        <is>
          <t>Australia</t>
        </is>
      </c>
      <c r="FE22" t="inlineStr">
        <is>
          <t>0000000000001060212</t>
        </is>
      </c>
      <c r="FJ22" t="inlineStr">
        <is>
          <t>Legacy Accounts - Non B2B</t>
        </is>
      </c>
      <c r="FM22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22" t="inlineStr">
        <is>
          <t>Australia</t>
        </is>
      </c>
      <c r="FO22" t="b">
        <v>1</v>
      </c>
      <c r="FP22" t="inlineStr">
        <is>
          <t>Yes</t>
        </is>
      </c>
      <c r="FQ22" t="inlineStr">
        <is>
          <t>PROS</t>
        </is>
      </c>
      <c r="FW22" t="b">
        <v>0</v>
      </c>
      <c r="FX22" t="inlineStr">
        <is>
          <t>No</t>
        </is>
      </c>
      <c r="GD22">
        <v>951850000</v>
      </c>
      <c r="GE22" t="inlineStr">
        <is>
          <t>Pending</t>
        </is>
      </c>
      <c r="GF22">
        <v>0.0000</v>
      </c>
      <c r="GG22">
        <v>0.0000</v>
      </c>
      <c r="GH22" s="3">
        <v>46122.659502314818</v>
      </c>
      <c r="GI22">
        <v>1</v>
      </c>
      <c r="GO22" s="3">
        <v>46122.659502314818</v>
      </c>
      <c r="GR22" s="3">
        <v>46122.659502314818</v>
      </c>
      <c r="GU22" s="3">
        <v>46122.659502314818</v>
      </c>
      <c r="GY22" t="inlineStr">
        <is>
          <t>000001060212</t>
        </is>
      </c>
      <c r="HB22" t="inlineStr">
        <is>
          <t>ELOISE MILLAR</t>
        </is>
      </c>
      <c r="HI22">
        <v>0.0000</v>
      </c>
      <c r="HJ22">
        <v>0.0000</v>
      </c>
      <c r="HK22" s="3">
        <v>46122.659502314818</v>
      </c>
      <c r="HL22">
        <v>1</v>
      </c>
      <c r="HM22">
        <v>0.0000</v>
      </c>
      <c r="HN22">
        <v>0.0000</v>
      </c>
      <c r="HO22" s="3">
        <v>46122.659502314818</v>
      </c>
      <c r="HP22">
        <v>1</v>
      </c>
      <c r="HX22" t="inlineStr" s="6">
        <f>HYPERLINK("https://metagenicsd365.crm6.dynamics.com/main.aspx?etn=meta_paymentterm&amp;pagetype=entityrecord&amp;id=31971c9d-38ba-eb11-8236-00224817f624","31971c9d-38ba-eb11-8236-00224817f624")</f>
        <v>31971c9d-38ba-eb11-8236-00224817f624</v>
      </c>
      <c r="HY22" t="inlineStr">
        <is>
          <t>Cash</t>
        </is>
      </c>
      <c r="IC22" t="inlineStr">
        <is>
          <t>NSW</t>
        </is>
      </c>
      <c r="ID22" t="inlineStr">
        <is>
          <t>5 SAFORD STREET</t>
        </is>
      </c>
      <c r="IE22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22" t="inlineStr">
        <is>
          <t>Australia</t>
        </is>
      </c>
      <c r="IG22" t="inlineStr" s="6">
        <f>HYPERLINK("https://metagenicsd365.crm6.dynamics.com/main.aspx?etn=meta_postcode&amp;pagetype=entityrecord&amp;id=fddafa30-b2a7-e911-a875-000d3ae104e7","fddafa30-b2a7-e911-a875-000d3ae104e7")</f>
        <v>fddafa30-b2a7-e911-a875-000d3ae104e7</v>
      </c>
      <c r="IH22" t="inlineStr">
        <is>
          <t>2087</t>
        </is>
      </c>
      <c r="II22" t="inlineStr" s="6">
        <f>HYPERLINK("https://metagenicsd365.crm6.dynamics.com/main.aspx?etn=meta_suburb&amp;pagetype=entityrecord&amp;id=b8689a78-b4a7-e911-a873-000d3ae10139","b8689a78-b4a7-e911-a873-000d3ae10139")</f>
        <v>b8689a78-b4a7-e911-a873-000d3ae10139</v>
      </c>
      <c r="IJ22" t="inlineStr">
        <is>
          <t>FORESTVILLE</t>
        </is>
      </c>
      <c r="IK22" t="inlineStr" s="6">
        <f>HYPERLINK("https://metagenicsd365.crm6.dynamics.com/main.aspx?etn=meta_postcode&amp;pagetype=entityrecord&amp;id=fddafa30-b2a7-e911-a875-000d3ae104e7","fddafa30-b2a7-e911-a875-000d3ae104e7")</f>
        <v>fddafa30-b2a7-e911-a875-000d3ae104e7</v>
      </c>
      <c r="IL22" t="inlineStr">
        <is>
          <t>2087</t>
        </is>
      </c>
      <c r="IZ22">
        <v>951850000</v>
      </c>
      <c r="JA22" t="inlineStr">
        <is>
          <t>Billing</t>
        </is>
      </c>
      <c r="JE22" t="b">
        <v>0</v>
      </c>
      <c r="JF22" t="inlineStr">
        <is>
          <t>No</t>
        </is>
      </c>
      <c r="JT22">
        <v>951850001</v>
      </c>
      <c r="JU22" t="inlineStr">
        <is>
          <t>EXP - Standard Shipping</t>
        </is>
      </c>
      <c r="JY22" t="inlineStr" s="6">
        <f>HYPERLINK("https://metagenicsd365.crm6.dynamics.com/main.aspx?etn=meta_suburb&amp;pagetype=entityrecord&amp;id=b8689a78-b4a7-e911-a873-000d3ae10139","b8689a78-b4a7-e911-a873-000d3ae10139")</f>
        <v>b8689a78-b4a7-e911-a873-000d3ae10139</v>
      </c>
      <c r="JZ22" t="inlineStr">
        <is>
          <t>FORESTVILLE</t>
        </is>
      </c>
      <c r="KA22" t="inlineStr">
        <is>
          <t>Yes</t>
        </is>
      </c>
      <c r="KB22">
        <v>0.0000</v>
      </c>
      <c r="KC22">
        <v>0.0000</v>
      </c>
      <c r="KD22" s="3">
        <v>46122.659502314818</v>
      </c>
      <c r="KE22">
        <v>1</v>
      </c>
      <c r="KF22">
        <v>0.0000</v>
      </c>
      <c r="KG22">
        <v>0.0000</v>
      </c>
      <c r="KH22" s="3">
        <v>46122.659502314818</v>
      </c>
      <c r="KI22">
        <v>1</v>
      </c>
      <c r="KJ22">
        <v>0.0000</v>
      </c>
      <c r="KK22">
        <v>0.0000</v>
      </c>
      <c r="KL22" s="3">
        <v>46122.659502314818</v>
      </c>
      <c r="KM22">
        <v>1</v>
      </c>
      <c r="KN22" t="b">
        <v>0</v>
      </c>
      <c r="KO22" t="inlineStr">
        <is>
          <t>No</t>
        </is>
      </c>
      <c r="KP22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22" t="inlineStr">
        <is>
          <t>Sriganesh Subramanian</t>
        </is>
      </c>
      <c r="KT22" s="3">
        <v>45966.914618055554</v>
      </c>
      <c r="LA22" t="b">
        <v>0</v>
      </c>
      <c r="LB22" t="inlineStr">
        <is>
          <t>No</t>
        </is>
      </c>
      <c r="LH22" t="inlineStr">
        <is>
          <t>ELOISE MILLAR</t>
        </is>
      </c>
      <c r="LO22">
        <v>0</v>
      </c>
      <c r="LP22" s="3">
        <v>46122.659502314818</v>
      </c>
      <c r="LQ22">
        <v>1</v>
      </c>
      <c r="LR22">
        <v>0.0000</v>
      </c>
      <c r="LS22">
        <v>0.0000</v>
      </c>
      <c r="LT22" s="3">
        <v>46122.659502314818</v>
      </c>
      <c r="LU22">
        <v>1</v>
      </c>
      <c r="LY22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22" t="inlineStr">
        <is>
          <t>Australia</t>
        </is>
      </c>
      <c r="MA22" t="inlineStr">
        <is>
          <t>team</t>
        </is>
      </c>
      <c r="MD22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22" t="inlineStr">
        <is>
          <t>Australia</t>
        </is>
      </c>
      <c r="MF22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L22" t="b">
        <v>0</v>
      </c>
      <c r="MM22" t="inlineStr">
        <is>
          <t>No</t>
        </is>
      </c>
      <c r="MT22">
        <v>1</v>
      </c>
      <c r="MU22" t="inlineStr">
        <is>
          <t>Any</t>
        </is>
      </c>
      <c r="NJ22">
        <v>1</v>
      </c>
      <c r="NK22" t="inlineStr">
        <is>
          <t>Airborne</t>
        </is>
      </c>
      <c r="NR22">
        <v>1</v>
      </c>
      <c r="NS22" t="inlineStr">
        <is>
          <t>Inactive</t>
        </is>
      </c>
      <c r="NT22">
        <v>2</v>
      </c>
      <c r="NU22" t="inlineStr">
        <is>
          <t>Inactive</t>
        </is>
      </c>
      <c r="OA22">
        <v>1</v>
      </c>
      <c r="OB22" t="inlineStr">
        <is>
          <t>Default Value</t>
        </is>
      </c>
      <c r="OH22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22" t="inlineStr">
        <is>
          <t>Australian Dollar</t>
        </is>
      </c>
      <c r="OL22" t="inlineStr">
        <is>
          <t>0x000000003BD0D201</t>
        </is>
      </c>
    </row>
    <row r="23">
      <c r="C23">
        <v>1</v>
      </c>
      <c r="D23" t="inlineStr">
        <is>
          <t>Default Value</t>
        </is>
      </c>
      <c r="E23" t="inlineStr" s="6">
        <f>HYPERLINK("https://metagenicsd365.crm6.dynamics.com/main.aspx?etn=account&amp;pagetype=entityrecord&amp;id=796ae304-8a50-ef11-a316-000d3a793080","796ae304-8a50-ef11-a316-000d3a793080")</f>
        <v>796ae304-8a50-ef11-a316-000d3a793080</v>
      </c>
      <c r="F23" t="inlineStr">
        <is>
          <t>000001017406</t>
        </is>
      </c>
      <c r="G23">
        <v>1</v>
      </c>
      <c r="H23" t="inlineStr">
        <is>
          <t>Default Value</t>
        </is>
      </c>
      <c r="I23" t="inlineStr" s="6">
        <f>HYPERLINK("https://metagenicsd365.crm6.dynamics.com/main.aspx?etn=account&amp;pagetype=entityrecord&amp;id=46b754bd-3797-4d7e-a5fc-cb8a1e08be7c","46b754bd-3797-4d7e-a5fc-cb8a1e08be7c")</f>
        <v>46b754bd-3797-4d7e-a5fc-cb8a1e08be7c</v>
      </c>
      <c r="M23" t="inlineStr">
        <is>
          <t>548 IPSWICH ROAD
QLD</t>
        </is>
      </c>
      <c r="T23" t="inlineStr">
        <is>
          <t>548 IPSWICH ROAD</t>
        </is>
      </c>
      <c r="AD23" t="inlineStr">
        <is>
          <t>QLD</t>
        </is>
      </c>
      <c r="AJ23" t="inlineStr" s="6">
        <f>HYPERLINK("https://metagenicsd365.crm6.dynamics.com/main.aspx?etn=account&amp;pagetype=entityrecord&amp;id=75c4ee2d-9c4a-45e3-8ec1-55aa1c577b5c","75c4ee2d-9c4a-45e3-8ec1-55aa1c577b5c")</f>
        <v>75c4ee2d-9c4a-45e3-8ec1-55aa1c577b5c</v>
      </c>
      <c r="AK23">
        <v>1</v>
      </c>
      <c r="AL23" t="inlineStr">
        <is>
          <t>Default Value</t>
        </is>
      </c>
      <c r="AN23" t="inlineStr">
        <is>
          <t>548 IPSWICH ROAD
QLD</t>
        </is>
      </c>
      <c r="AR23">
        <v>1</v>
      </c>
      <c r="AS23" t="inlineStr">
        <is>
          <t>Default Value</t>
        </is>
      </c>
      <c r="AU23" t="inlineStr">
        <is>
          <t>548 IPSWICH ROAD</t>
        </is>
      </c>
      <c r="BC23">
        <v>1</v>
      </c>
      <c r="BD23" t="inlineStr">
        <is>
          <t>Default Value</t>
        </is>
      </c>
      <c r="BE23" t="inlineStr">
        <is>
          <t>QLD</t>
        </is>
      </c>
      <c r="BU23">
        <v>1</v>
      </c>
      <c r="BV23" t="inlineStr">
        <is>
          <t>Default Value</t>
        </is>
      </c>
      <c r="BY23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23" t="inlineStr">
        <is>
          <t>SVC_D365_CE #</t>
        </is>
      </c>
      <c r="CC23" s="3">
        <v>45506.198136574072</v>
      </c>
      <c r="CF23">
        <v>0.0000</v>
      </c>
      <c r="CG23">
        <v>0.0000</v>
      </c>
      <c r="CH23" t="b">
        <v>0</v>
      </c>
      <c r="CI23" t="inlineStr">
        <is>
          <t>No</t>
        </is>
      </c>
      <c r="CJ23">
        <v>1</v>
      </c>
      <c r="CK23" t="inlineStr">
        <is>
          <t>Default Value</t>
        </is>
      </c>
      <c r="CQ23" t="b">
        <v>0</v>
      </c>
      <c r="CR23" t="inlineStr">
        <is>
          <t>Allow</t>
        </is>
      </c>
      <c r="CS23" t="b">
        <v>0</v>
      </c>
      <c r="CT23" t="inlineStr">
        <is>
          <t>No</t>
        </is>
      </c>
      <c r="CU23" t="b">
        <v>0</v>
      </c>
      <c r="CV23" t="inlineStr">
        <is>
          <t>Allow</t>
        </is>
      </c>
      <c r="CW23" t="b">
        <v>0</v>
      </c>
      <c r="CX23" t="inlineStr">
        <is>
          <t>Allow</t>
        </is>
      </c>
      <c r="CY23" t="b">
        <v>0</v>
      </c>
      <c r="CZ23" t="inlineStr">
        <is>
          <t>Allow</t>
        </is>
      </c>
      <c r="DA23" t="b">
        <v>0</v>
      </c>
      <c r="DB23" t="inlineStr">
        <is>
          <t>Allow</t>
        </is>
      </c>
      <c r="DC23" t="b">
        <v>0</v>
      </c>
      <c r="DD23" t="inlineStr">
        <is>
          <t>Send</t>
        </is>
      </c>
      <c r="DF23" t="inlineStr">
        <is>
          <t>annerley@chempro.com.au</t>
        </is>
      </c>
      <c r="DO23">
        <v>1.0000000000</v>
      </c>
      <c r="DQ23" t="b">
        <v>1</v>
      </c>
      <c r="DR23" t="inlineStr">
        <is>
          <t>Allow</t>
        </is>
      </c>
      <c r="EA23" t="b">
        <v>0</v>
      </c>
      <c r="EB23" t="inlineStr">
        <is>
          <t>No</t>
        </is>
      </c>
      <c r="EC23" t="inlineStr" s="6">
        <f>HYPERLINK("https://metagenicsd365.crm6.dynamics.com/main.aspx?etn=account&amp;pagetype=entityrecord&amp;id=9ac73ea0-afd4-ec11-a7b5-00224818b5d1","9ac73ea0-afd4-ec11-a7b5-00224818b5d1")</f>
        <v>9ac73ea0-afd4-ec11-a7b5-00224818b5d1</v>
      </c>
      <c r="ED23" t="inlineStr">
        <is>
          <t>ANNERLEY 24 HOUR CHEMPRO</t>
        </is>
      </c>
      <c r="EE23" t="b">
        <v>1</v>
      </c>
      <c r="EF23" t="inlineStr">
        <is>
          <t>Yes</t>
        </is>
      </c>
      <c r="EJ23" t="inlineStr">
        <is>
          <t>951850001</t>
        </is>
      </c>
      <c r="EK23" t="inlineStr">
        <is>
          <t>Practitioner</t>
        </is>
      </c>
      <c r="EM23" s="1">
        <v>45948</v>
      </c>
      <c r="EO23" t="b">
        <v>0</v>
      </c>
      <c r="EP23" t="inlineStr">
        <is>
          <t>No</t>
        </is>
      </c>
      <c r="ER23" t="inlineStr">
        <is>
          <t>https://metagenicscorpaus.sharepoint.com/:f:/s/TMsRETAIL/Epm8NVX9p5xEi0qi5R2n3DgBLYkMohYbqhNLiHroIr0BtQ?e=aUcHDC</t>
        </is>
      </c>
      <c r="ES23" t="inlineStr" s="6">
        <f>HYPERLINK("https://metagenicsd365.crm6.dynamics.com/main.aspx?etn=account&amp;pagetype=entityrecord&amp;id=9ac73ea0-afd4-ec11-a7b5-00224818b5d1","9ac73ea0-afd4-ec11-a7b5-00224818b5d1")</f>
        <v>9ac73ea0-afd4-ec11-a7b5-00224818b5d1</v>
      </c>
      <c r="ET23" t="inlineStr">
        <is>
          <t>ANNERLEY 24 HOUR CHEMPRO</t>
        </is>
      </c>
      <c r="EU23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23" t="inlineStr">
        <is>
          <t>Australia</t>
        </is>
      </c>
      <c r="EW23">
        <v>951850003</v>
      </c>
      <c r="EX23" t="inlineStr">
        <is>
          <t>PRA01</t>
        </is>
      </c>
      <c r="EY23" t="inlineStr" s="6">
        <f>HYPERLINK("https://metagenicsd365.crm6.dynamics.com/main.aspx?etn=meta_postcode&amp;pagetype=entityrecord&amp;id=f03c8c1b-b2a7-e911-a873-000d3ae10139","f03c8c1b-b2a7-e911-a873-000d3ae10139")</f>
        <v>f03c8c1b-b2a7-e911-a873-000d3ae10139</v>
      </c>
      <c r="EZ23" t="inlineStr">
        <is>
          <t>4103</t>
        </is>
      </c>
      <c r="FA23" t="inlineStr" s="6">
        <f>HYPERLINK("https://metagenicsd365.crm6.dynamics.com/main.aspx?etn=meta_suburb&amp;pagetype=entityrecord&amp;id=da413d45-b3a7-e911-a862-000d3ae10c61","da413d45-b3a7-e911-a862-000d3ae10c61")</f>
        <v>da413d45-b3a7-e911-a862-000d3ae10c61</v>
      </c>
      <c r="FB23" t="inlineStr">
        <is>
          <t>ANNERLEY</t>
        </is>
      </c>
      <c r="FC23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23" t="inlineStr">
        <is>
          <t>Australia</t>
        </is>
      </c>
      <c r="FE23" t="inlineStr">
        <is>
          <t>0000000000001017406</t>
        </is>
      </c>
      <c r="FJ23" t="inlineStr">
        <is>
          <t>Fuzzy Match Logic</t>
        </is>
      </c>
      <c r="FM23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23" t="inlineStr">
        <is>
          <t>Australia</t>
        </is>
      </c>
      <c r="FO23" t="b">
        <v>1</v>
      </c>
      <c r="FP23" t="inlineStr">
        <is>
          <t>Yes</t>
        </is>
      </c>
      <c r="FQ23" t="inlineStr">
        <is>
          <t>PRACS</t>
        </is>
      </c>
      <c r="FW23" t="b">
        <v>0</v>
      </c>
      <c r="FX23" t="inlineStr">
        <is>
          <t>No</t>
        </is>
      </c>
      <c r="GA23" t="inlineStr">
        <is>
          <t>ABL10087909</t>
        </is>
      </c>
      <c r="GB23" t="inlineStr" s="6">
        <f>HYPERLINK("https://metagenicsd365.crm6.dynamics.com/main.aspx?etn=meta_group&amp;pagetype=entityrecord&amp;id=1e6cfef6-b1a7-e911-a873-000d3ae10139","1e6cfef6-b1a7-e911-a873-000d3ae10139")</f>
        <v>1e6cfef6-b1a7-e911-a873-000d3ae10139</v>
      </c>
      <c r="GC23" t="inlineStr">
        <is>
          <t>Chempro</t>
        </is>
      </c>
      <c r="GD23">
        <v>951850000</v>
      </c>
      <c r="GE23" t="inlineStr">
        <is>
          <t>Pending</t>
        </is>
      </c>
      <c r="GF23">
        <v>0.0000</v>
      </c>
      <c r="GG23">
        <v>0.0000</v>
      </c>
      <c r="GH23" s="3">
        <v>46122.659502314818</v>
      </c>
      <c r="GI23">
        <v>1</v>
      </c>
      <c r="GO23" s="3">
        <v>46122.659502314818</v>
      </c>
      <c r="GR23" s="3">
        <v>46122.659502314818</v>
      </c>
      <c r="GU23" s="3">
        <v>46122.659502314818</v>
      </c>
      <c r="GY23" t="inlineStr">
        <is>
          <t>000001017406</t>
        </is>
      </c>
      <c r="GZ23" t="inlineStr">
        <is>
          <t>000000000011007</t>
        </is>
      </c>
      <c r="HB23" t="inlineStr">
        <is>
          <t>ANNERLEY 24 HOUR CHEMPRO (11007)</t>
        </is>
      </c>
      <c r="HD23" t="inlineStr" s="6">
        <f>HYPERLINK("https://metagenicsd365.crm6.dynamics.com/main.aspx?etn=account&amp;pagetype=entityrecord&amp;id=9ac73ea0-afd4-ec11-a7b5-00224818b5d1","9ac73ea0-afd4-ec11-a7b5-00224818b5d1")</f>
        <v>9ac73ea0-afd4-ec11-a7b5-00224818b5d1</v>
      </c>
      <c r="HE23" t="inlineStr">
        <is>
          <t>ANNERLEY 24 HOUR CHEMPRO</t>
        </is>
      </c>
      <c r="HF23" t="inlineStr">
        <is>
          <t>ABL4870080</t>
        </is>
      </c>
      <c r="HI23">
        <v>0.0000</v>
      </c>
      <c r="HJ23">
        <v>0.0000</v>
      </c>
      <c r="HK23" s="3">
        <v>46122.659502314818</v>
      </c>
      <c r="HL23">
        <v>1</v>
      </c>
      <c r="HM23">
        <v>0.0000</v>
      </c>
      <c r="HN23">
        <v>0.0000</v>
      </c>
      <c r="HO23" s="3">
        <v>46122.659502314818</v>
      </c>
      <c r="HP23">
        <v>1</v>
      </c>
      <c r="HX23" t="inlineStr" s="6">
        <f>HYPERLINK("https://metagenicsd365.crm6.dynamics.com/main.aspx?etn=meta_paymentterm&amp;pagetype=entityrecord&amp;id=0768c959-38ba-eb11-8236-00224817f624","0768c959-38ba-eb11-8236-00224817f624")</f>
        <v>0768c959-38ba-eb11-8236-00224817f624</v>
      </c>
      <c r="HY23" t="inlineStr">
        <is>
          <t>Net 30 Days End of Month</t>
        </is>
      </c>
      <c r="IC23" t="inlineStr">
        <is>
          <t>QLD</t>
        </is>
      </c>
      <c r="ID23" t="inlineStr">
        <is>
          <t>548 IPSWICH ROAD</t>
        </is>
      </c>
      <c r="IE23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23" t="inlineStr">
        <is>
          <t>Australia</t>
        </is>
      </c>
      <c r="IG23" t="inlineStr" s="6">
        <f>HYPERLINK("https://metagenicsd365.crm6.dynamics.com/main.aspx?etn=meta_postcode&amp;pagetype=entityrecord&amp;id=f03c8c1b-b2a7-e911-a873-000d3ae10139","f03c8c1b-b2a7-e911-a873-000d3ae10139")</f>
        <v>f03c8c1b-b2a7-e911-a873-000d3ae10139</v>
      </c>
      <c r="IH23" t="inlineStr">
        <is>
          <t>4103</t>
        </is>
      </c>
      <c r="II23" t="inlineStr" s="6">
        <f>HYPERLINK("https://metagenicsd365.crm6.dynamics.com/main.aspx?etn=meta_suburb&amp;pagetype=entityrecord&amp;id=da413d45-b3a7-e911-a862-000d3ae10c61","da413d45-b3a7-e911-a862-000d3ae10c61")</f>
        <v>da413d45-b3a7-e911-a862-000d3ae10c61</v>
      </c>
      <c r="IJ23" t="inlineStr">
        <is>
          <t>ANNERLEY</t>
        </is>
      </c>
      <c r="IK23" t="inlineStr" s="6">
        <f>HYPERLINK("https://metagenicsd365.crm6.dynamics.com/main.aspx?etn=meta_postcode&amp;pagetype=entityrecord&amp;id=f03c8c1b-b2a7-e911-a873-000d3ae10139","f03c8c1b-b2a7-e911-a873-000d3ae10139")</f>
        <v>f03c8c1b-b2a7-e911-a873-000d3ae10139</v>
      </c>
      <c r="IL23" t="inlineStr">
        <is>
          <t>4103</t>
        </is>
      </c>
      <c r="IZ23">
        <v>951850001</v>
      </c>
      <c r="JA23" t="inlineStr">
        <is>
          <t>Location</t>
        </is>
      </c>
      <c r="JE23" t="b">
        <v>0</v>
      </c>
      <c r="JF23" t="inlineStr">
        <is>
          <t>No</t>
        </is>
      </c>
      <c r="JT23">
        <v>951850001</v>
      </c>
      <c r="JU23" t="inlineStr">
        <is>
          <t>EXP - Standard Shipping</t>
        </is>
      </c>
      <c r="JY23" t="inlineStr" s="6">
        <f>HYPERLINK("https://metagenicsd365.crm6.dynamics.com/main.aspx?etn=meta_suburb&amp;pagetype=entityrecord&amp;id=da413d45-b3a7-e911-a862-000d3ae10c61","da413d45-b3a7-e911-a862-000d3ae10c61")</f>
        <v>da413d45-b3a7-e911-a862-000d3ae10c61</v>
      </c>
      <c r="JZ23" t="inlineStr">
        <is>
          <t>ANNERLEY</t>
        </is>
      </c>
      <c r="KA23" t="inlineStr">
        <is>
          <t>Yes</t>
        </is>
      </c>
      <c r="KB23">
        <v>0.0000</v>
      </c>
      <c r="KC23">
        <v>0.0000</v>
      </c>
      <c r="KD23" s="3">
        <v>46122.659502314818</v>
      </c>
      <c r="KE23">
        <v>1</v>
      </c>
      <c r="KF23">
        <v>0.0000</v>
      </c>
      <c r="KG23">
        <v>0.0000</v>
      </c>
      <c r="KH23" s="3">
        <v>46122.659502314818</v>
      </c>
      <c r="KI23">
        <v>1</v>
      </c>
      <c r="KJ23">
        <v>0.0000</v>
      </c>
      <c r="KK23">
        <v>0.0000</v>
      </c>
      <c r="KL23" s="3">
        <v>46122.659502314818</v>
      </c>
      <c r="KM23">
        <v>1</v>
      </c>
      <c r="KN23" t="b">
        <v>0</v>
      </c>
      <c r="KO23" t="inlineStr">
        <is>
          <t>No</t>
        </is>
      </c>
      <c r="KP23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23" t="inlineStr">
        <is>
          <t>Sriganesh Subramanian</t>
        </is>
      </c>
      <c r="KT23" s="3">
        <v>45963.896041666667</v>
      </c>
      <c r="LA23" t="b">
        <v>0</v>
      </c>
      <c r="LB23" t="inlineStr">
        <is>
          <t>No</t>
        </is>
      </c>
      <c r="LH23" t="inlineStr">
        <is>
          <t>ANNERLEY 24 HOUR CHEMPRO (11007)</t>
        </is>
      </c>
      <c r="LO23">
        <v>0</v>
      </c>
      <c r="LP23" s="3">
        <v>46122.659502314818</v>
      </c>
      <c r="LQ23">
        <v>1</v>
      </c>
      <c r="LR23">
        <v>0.0000</v>
      </c>
      <c r="LS23">
        <v>0.0000</v>
      </c>
      <c r="LT23" s="3">
        <v>46122.659502314818</v>
      </c>
      <c r="LU23">
        <v>1</v>
      </c>
      <c r="LY23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23" t="inlineStr">
        <is>
          <t>Australia</t>
        </is>
      </c>
      <c r="MA23" t="inlineStr">
        <is>
          <t>team</t>
        </is>
      </c>
      <c r="MD23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23" t="inlineStr">
        <is>
          <t>Australia</t>
        </is>
      </c>
      <c r="MF23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J23" t="inlineStr" s="6">
        <f>HYPERLINK("https://metagenicsd365.crm6.dynamics.com/main.aspx?etn=account&amp;pagetype=entityrecord&amp;id=9ac73ea0-afd4-ec11-a7b5-00224818b5d1","9ac73ea0-afd4-ec11-a7b5-00224818b5d1")</f>
        <v>9ac73ea0-afd4-ec11-a7b5-00224818b5d1</v>
      </c>
      <c r="MK23" t="inlineStr">
        <is>
          <t>ANNERLEY 24 HOUR CHEMPRO</t>
        </is>
      </c>
      <c r="ML23" t="b">
        <v>0</v>
      </c>
      <c r="MM23" t="inlineStr">
        <is>
          <t>No</t>
        </is>
      </c>
      <c r="MT23">
        <v>1</v>
      </c>
      <c r="MU23" t="inlineStr">
        <is>
          <t>Any</t>
        </is>
      </c>
      <c r="NJ23">
        <v>1</v>
      </c>
      <c r="NK23" t="inlineStr">
        <is>
          <t>Airborne</t>
        </is>
      </c>
      <c r="NR23">
        <v>1</v>
      </c>
      <c r="NS23" t="inlineStr">
        <is>
          <t>Inactive</t>
        </is>
      </c>
      <c r="NT23">
        <v>2</v>
      </c>
      <c r="NU23" t="inlineStr">
        <is>
          <t>Inactive</t>
        </is>
      </c>
      <c r="NY23" t="inlineStr">
        <is>
          <t>07 3892 1494</t>
        </is>
      </c>
      <c r="OA23">
        <v>1</v>
      </c>
      <c r="OB23" t="inlineStr">
        <is>
          <t>Default Value</t>
        </is>
      </c>
      <c r="OG23">
        <v>0</v>
      </c>
      <c r="OH23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23" t="inlineStr">
        <is>
          <t>Australian Dollar</t>
        </is>
      </c>
      <c r="OL23" t="inlineStr">
        <is>
          <t>0x000000003BD0D202</t>
        </is>
      </c>
    </row>
    <row r="24">
      <c r="C24">
        <v>1</v>
      </c>
      <c r="D24" t="inlineStr">
        <is>
          <t>Default Value</t>
        </is>
      </c>
      <c r="E24" t="inlineStr" s="6">
        <f>HYPERLINK("https://metagenicsd365.crm6.dynamics.com/main.aspx?etn=account&amp;pagetype=entityrecord&amp;id=2da0aeef-3763-ef11-a671-000d3a793080","2da0aeef-3763-ef11-a671-000d3a793080")</f>
        <v>2da0aeef-3763-ef11-a671-000d3a793080</v>
      </c>
      <c r="F24" t="inlineStr">
        <is>
          <t>000001061399</t>
        </is>
      </c>
      <c r="G24">
        <v>1</v>
      </c>
      <c r="H24" t="inlineStr">
        <is>
          <t>Default Value</t>
        </is>
      </c>
      <c r="I24" t="inlineStr" s="6">
        <f>HYPERLINK("https://metagenicsd365.crm6.dynamics.com/main.aspx?etn=account&amp;pagetype=entityrecord&amp;id=5c60f6c7-cc18-4dcc-9421-1f05596a1725","5c60f6c7-cc18-4dcc-9421-1f05596a1725")</f>
        <v>5c60f6c7-cc18-4dcc-9421-1f05596a1725</v>
      </c>
      <c r="L24" t="inlineStr">
        <is>
          <t>/meta_suburbs(5d3f5923-b5a7-e911-a862-000d3ae10c61)</t>
        </is>
      </c>
      <c r="M24" t="inlineStr">
        <is>
          <t>5/61 SHARPS ROAD
/meta_suburbs(5d3f5923-b5a7-e911-a862-000d3ae10c61), VIC</t>
        </is>
      </c>
      <c r="T24" t="inlineStr">
        <is>
          <t>5/61 SHARPS ROAD</t>
        </is>
      </c>
      <c r="AD24" t="inlineStr">
        <is>
          <t>VIC</t>
        </is>
      </c>
      <c r="AE24" t="inlineStr">
        <is>
          <t>03 9492 1826</t>
        </is>
      </c>
      <c r="AJ24" t="inlineStr" s="6">
        <f>HYPERLINK("https://metagenicsd365.crm6.dynamics.com/main.aspx?etn=account&amp;pagetype=entityrecord&amp;id=94d1d0ff-4733-41d0-9869-e14fe9e3a592","94d1d0ff-4733-41d0-9869-e14fe9e3a592")</f>
        <v>94d1d0ff-4733-41d0-9869-e14fe9e3a592</v>
      </c>
      <c r="AK24">
        <v>1</v>
      </c>
      <c r="AL24" t="inlineStr">
        <is>
          <t>Default Value</t>
        </is>
      </c>
      <c r="AM24" t="inlineStr">
        <is>
          <t>/meta_suburbs(5d3f5923-b5a7-e911-a862-000d3ae10c61)</t>
        </is>
      </c>
      <c r="AN24" t="inlineStr">
        <is>
          <t>5/61 SHARPS ROAD
/meta_suburbs(5d3f5923-b5a7-e911-a862-000d3ae10c61), VIC</t>
        </is>
      </c>
      <c r="AR24">
        <v>1</v>
      </c>
      <c r="AS24" t="inlineStr">
        <is>
          <t>Default Value</t>
        </is>
      </c>
      <c r="AU24" t="inlineStr">
        <is>
          <t>5/61 SHARPS ROAD</t>
        </is>
      </c>
      <c r="BC24">
        <v>1</v>
      </c>
      <c r="BD24" t="inlineStr">
        <is>
          <t>Default Value</t>
        </is>
      </c>
      <c r="BE24" t="inlineStr">
        <is>
          <t>VIC</t>
        </is>
      </c>
      <c r="BU24">
        <v>1</v>
      </c>
      <c r="BV24" t="inlineStr">
        <is>
          <t>Default Value</t>
        </is>
      </c>
      <c r="BY24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24" t="inlineStr">
        <is>
          <t>SVC_D365_CE #</t>
        </is>
      </c>
      <c r="CC24" s="3">
        <v>45529.969282407408</v>
      </c>
      <c r="CH24" t="b">
        <v>0</v>
      </c>
      <c r="CI24" t="inlineStr">
        <is>
          <t>No</t>
        </is>
      </c>
      <c r="CJ24">
        <v>1</v>
      </c>
      <c r="CK24" t="inlineStr">
        <is>
          <t>Default Value</t>
        </is>
      </c>
      <c r="CN24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24" t="inlineStr">
        <is>
          <t>All Products Australia</t>
        </is>
      </c>
      <c r="CQ24" t="b">
        <v>0</v>
      </c>
      <c r="CR24" t="inlineStr">
        <is>
          <t>Allow</t>
        </is>
      </c>
      <c r="CS24" t="b">
        <v>0</v>
      </c>
      <c r="CT24" t="inlineStr">
        <is>
          <t>No</t>
        </is>
      </c>
      <c r="CU24" t="b">
        <v>0</v>
      </c>
      <c r="CV24" t="inlineStr">
        <is>
          <t>Allow</t>
        </is>
      </c>
      <c r="CW24" t="b">
        <v>0</v>
      </c>
      <c r="CX24" t="inlineStr">
        <is>
          <t>Allow</t>
        </is>
      </c>
      <c r="CY24" t="b">
        <v>0</v>
      </c>
      <c r="CZ24" t="inlineStr">
        <is>
          <t>Allow</t>
        </is>
      </c>
      <c r="DA24" t="b">
        <v>0</v>
      </c>
      <c r="DB24" t="inlineStr">
        <is>
          <t>Allow</t>
        </is>
      </c>
      <c r="DC24" t="b">
        <v>0</v>
      </c>
      <c r="DD24" t="inlineStr">
        <is>
          <t>Send</t>
        </is>
      </c>
      <c r="DE24" t="inlineStr">
        <is>
          <t>bodyalignrecovery@gmail.com</t>
        </is>
      </c>
      <c r="DF24" t="inlineStr">
        <is>
          <t>bodyalignrecovery@gmail.com</t>
        </is>
      </c>
      <c r="DO24">
        <v>1.0000000000</v>
      </c>
      <c r="DQ24" t="b">
        <v>1</v>
      </c>
      <c r="DR24" t="inlineStr">
        <is>
          <t>Allow</t>
        </is>
      </c>
      <c r="EA24" t="b">
        <v>0</v>
      </c>
      <c r="EB24" t="inlineStr">
        <is>
          <t>No</t>
        </is>
      </c>
      <c r="EE24" t="b">
        <v>0</v>
      </c>
      <c r="EF24" t="inlineStr">
        <is>
          <t>No</t>
        </is>
      </c>
      <c r="EG24" t="inlineStr">
        <is>
          <t>No</t>
        </is>
      </c>
      <c r="EJ24" t="inlineStr">
        <is>
          <t>951850001</t>
        </is>
      </c>
      <c r="EK24" t="inlineStr">
        <is>
          <t>Practitioner</t>
        </is>
      </c>
      <c r="EL24" s="3">
        <v>45529.964363425926</v>
      </c>
      <c r="EM24" s="3">
        <v>93138.99998842593</v>
      </c>
      <c r="EN24" t="inlineStr">
        <is>
          <t>PRAC</t>
        </is>
      </c>
      <c r="EO24" t="b">
        <v>0</v>
      </c>
      <c r="EP24" t="inlineStr">
        <is>
          <t>No</t>
        </is>
      </c>
      <c r="EQ24" t="inlineStr">
        <is>
          <t>No</t>
        </is>
      </c>
      <c r="EU24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24" t="inlineStr">
        <is>
          <t>Australia</t>
        </is>
      </c>
      <c r="EW24">
        <v>951850003</v>
      </c>
      <c r="EX24" t="inlineStr">
        <is>
          <t>PRA01</t>
        </is>
      </c>
      <c r="EY24" t="inlineStr" s="6">
        <f>HYPERLINK("https://metagenicsd365.crm6.dynamics.com/main.aspx?etn=meta_postcode&amp;pagetype=entityrecord&amp;id=f9fba383-b2a7-e911-a862-000d3ae10c61","f9fba383-b2a7-e911-a862-000d3ae10c61")</f>
        <v>f9fba383-b2a7-e911-a862-000d3ae10c61</v>
      </c>
      <c r="EZ24" t="inlineStr">
        <is>
          <t>3043</t>
        </is>
      </c>
      <c r="FA24" t="inlineStr" s="6">
        <f>HYPERLINK("https://metagenicsd365.crm6.dynamics.com/main.aspx?etn=meta_suburb&amp;pagetype=entityrecord&amp;id=5d3f5923-b5a7-e911-a862-000d3ae10c61","5d3f5923-b5a7-e911-a862-000d3ae10c61")</f>
        <v>5d3f5923-b5a7-e911-a862-000d3ae10c61</v>
      </c>
      <c r="FB24" t="inlineStr">
        <is>
          <t>TULLAMARINE</t>
        </is>
      </c>
      <c r="FC24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24" t="inlineStr">
        <is>
          <t>Australia</t>
        </is>
      </c>
      <c r="FE24" t="inlineStr">
        <is>
          <t>0000000000001061399</t>
        </is>
      </c>
      <c r="FM24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24" t="inlineStr">
        <is>
          <t>Australia</t>
        </is>
      </c>
      <c r="FO24" t="b">
        <v>1</v>
      </c>
      <c r="FP24" t="inlineStr">
        <is>
          <t>Yes</t>
        </is>
      </c>
      <c r="FQ24" t="inlineStr">
        <is>
          <t>PRACS</t>
        </is>
      </c>
      <c r="FW24" t="b">
        <v>0</v>
      </c>
      <c r="FX24" t="inlineStr">
        <is>
          <t>No</t>
        </is>
      </c>
      <c r="GA24" t="inlineStr">
        <is>
          <t>ABL10293528</t>
        </is>
      </c>
      <c r="GD24">
        <v>951850000</v>
      </c>
      <c r="GE24" t="inlineStr">
        <is>
          <t>Pending</t>
        </is>
      </c>
      <c r="GF24">
        <v>0.0000</v>
      </c>
      <c r="GG24">
        <v>0.0000</v>
      </c>
      <c r="GH24" s="3">
        <v>46122.659502314818</v>
      </c>
      <c r="GI24">
        <v>1</v>
      </c>
      <c r="GJ24" t="b">
        <v>1</v>
      </c>
      <c r="GK24" t="inlineStr">
        <is>
          <t>Yes</t>
        </is>
      </c>
      <c r="GO24" s="3">
        <v>46122.659502314818</v>
      </c>
      <c r="GQ24" s="3">
        <v>45903.102395833332</v>
      </c>
      <c r="GR24" s="3">
        <v>46122.659502314818</v>
      </c>
      <c r="GS24">
        <v>1</v>
      </c>
      <c r="GU24" s="3">
        <v>46122.659502314818</v>
      </c>
      <c r="GY24" t="inlineStr">
        <is>
          <t>000001061399</t>
        </is>
      </c>
      <c r="HB24" t="inlineStr">
        <is>
          <t>BODY ALIGN RECOVERY</t>
        </is>
      </c>
      <c r="HI24">
        <v>0.0000</v>
      </c>
      <c r="HK24" s="3">
        <v>46122.659502314818</v>
      </c>
      <c r="HL24">
        <v>1</v>
      </c>
      <c r="HM24">
        <v>0.0000</v>
      </c>
      <c r="HN24">
        <v>0.0000</v>
      </c>
      <c r="HO24" s="3">
        <v>46122.659502314818</v>
      </c>
      <c r="HP24">
        <v>1</v>
      </c>
      <c r="HX24" t="inlineStr" s="6">
        <f>HYPERLINK("https://metagenicsd365.crm6.dynamics.com/main.aspx?etn=meta_paymentterm&amp;pagetype=entityrecord&amp;id=0768c959-38ba-eb11-8236-00224817f624","0768c959-38ba-eb11-8236-00224817f624")</f>
        <v>0768c959-38ba-eb11-8236-00224817f624</v>
      </c>
      <c r="HY24" t="inlineStr">
        <is>
          <t>Net 30 Days End of Month</t>
        </is>
      </c>
      <c r="IC24" t="inlineStr">
        <is>
          <t>VIC</t>
        </is>
      </c>
      <c r="ID24" t="inlineStr">
        <is>
          <t>5/61 SHARPS ROAD</t>
        </is>
      </c>
      <c r="IE24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24" t="inlineStr">
        <is>
          <t>Australia</t>
        </is>
      </c>
      <c r="IG24" t="inlineStr" s="6">
        <f>HYPERLINK("https://metagenicsd365.crm6.dynamics.com/main.aspx?etn=meta_postcode&amp;pagetype=entityrecord&amp;id=f9fba383-b2a7-e911-a862-000d3ae10c61","f9fba383-b2a7-e911-a862-000d3ae10c61")</f>
        <v>f9fba383-b2a7-e911-a862-000d3ae10c61</v>
      </c>
      <c r="IH24" t="inlineStr">
        <is>
          <t>3043</t>
        </is>
      </c>
      <c r="II24" t="inlineStr" s="6">
        <f>HYPERLINK("https://metagenicsd365.crm6.dynamics.com/main.aspx?etn=meta_suburb&amp;pagetype=entityrecord&amp;id=5d3f5923-b5a7-e911-a862-000d3ae10c61","5d3f5923-b5a7-e911-a862-000d3ae10c61")</f>
        <v>5d3f5923-b5a7-e911-a862-000d3ae10c61</v>
      </c>
      <c r="IJ24" t="inlineStr">
        <is>
          <t>TULLAMARINE</t>
        </is>
      </c>
      <c r="IK24" t="inlineStr" s="6">
        <f>HYPERLINK("https://metagenicsd365.crm6.dynamics.com/main.aspx?etn=meta_postcode&amp;pagetype=entityrecord&amp;id=f9fba383-b2a7-e911-a862-000d3ae10c61","f9fba383-b2a7-e911-a862-000d3ae10c61")</f>
        <v>f9fba383-b2a7-e911-a862-000d3ae10c61</v>
      </c>
      <c r="IL24" t="inlineStr">
        <is>
          <t>3043</t>
        </is>
      </c>
      <c r="IM24" t="inlineStr" s="6">
        <f>HYPERLINK("https://metagenicsd365.crm6.dynamics.com/main.aspx?etn=systemuser&amp;pagetype=entityrecord&amp;id=5f96fcf7-8cbc-ea11-a812-000d3a799a21","5f96fcf7-8cbc-ea11-a812-000d3a799a21")</f>
        <v>5f96fcf7-8cbc-ea11-a812-000d3a799a21</v>
      </c>
      <c r="IN24" t="inlineStr">
        <is>
          <t>Renee Kucyk</t>
        </is>
      </c>
      <c r="IO24" t="inlineStr" s="6">
        <f>HYPERLINK("https://metagenicsd365.crm6.dynamics.com/main.aspx?etn=meta_segment&amp;pagetype=entityrecord&amp;id=2b198568-8030-eb11-a813-000d3ae15585","2b198568-8030-eb11-a813-000d3ae15585")</f>
        <v>2b198568-8030-eb11-a813-000d3ae15585</v>
      </c>
      <c r="IP24" t="inlineStr">
        <is>
          <t>2 - Small naturopaths and HCPs</t>
        </is>
      </c>
      <c r="IQ24" t="inlineStr" s="6">
        <f>HYPERLINK("https://metagenicsd365.crm6.dynamics.com/main.aspx?etn=territory&amp;pagetype=entityrecord&amp;id=8a640ddf-8030-eb11-a813-000d3ae15585","8a640ddf-8030-eb11-a813-000d3ae15585")</f>
        <v>8a640ddf-8030-eb11-a813-000d3ae15585</v>
      </c>
      <c r="IR24" t="inlineStr">
        <is>
          <t>3P01</t>
        </is>
      </c>
      <c r="IU24" t="b">
        <v>1</v>
      </c>
      <c r="IV24" t="inlineStr">
        <is>
          <t>Yes</t>
        </is>
      </c>
      <c r="IZ24">
        <v>951850000</v>
      </c>
      <c r="JA24" t="inlineStr">
        <is>
          <t>Billing</t>
        </is>
      </c>
      <c r="JE24" t="b">
        <v>0</v>
      </c>
      <c r="JF24" t="inlineStr">
        <is>
          <t>No</t>
        </is>
      </c>
      <c r="JT24">
        <v>951850001</v>
      </c>
      <c r="JU24" t="inlineStr">
        <is>
          <t>EXP - Standard Shipping</t>
        </is>
      </c>
      <c r="JY24" t="inlineStr" s="6">
        <f>HYPERLINK("https://metagenicsd365.crm6.dynamics.com/main.aspx?etn=meta_suburb&amp;pagetype=entityrecord&amp;id=5d3f5923-b5a7-e911-a862-000d3ae10c61","5d3f5923-b5a7-e911-a862-000d3ae10c61")</f>
        <v>5d3f5923-b5a7-e911-a862-000d3ae10c61</v>
      </c>
      <c r="JZ24" t="inlineStr">
        <is>
          <t>TULLAMARINE</t>
        </is>
      </c>
      <c r="KB24">
        <v>0.0000</v>
      </c>
      <c r="KD24" s="3">
        <v>46122.659502314818</v>
      </c>
      <c r="KE24">
        <v>1</v>
      </c>
      <c r="KF24">
        <v>0.0000</v>
      </c>
      <c r="KG24">
        <v>0.0000</v>
      </c>
      <c r="KH24" s="3">
        <v>46122.659502314818</v>
      </c>
      <c r="KI24">
        <v>1</v>
      </c>
      <c r="KJ24">
        <v>0.0000</v>
      </c>
      <c r="KK24">
        <v>0.0000</v>
      </c>
      <c r="KL24" s="3">
        <v>46122.659502314818</v>
      </c>
      <c r="KM24">
        <v>1</v>
      </c>
      <c r="KN24" t="b">
        <v>0</v>
      </c>
      <c r="KO24" t="inlineStr">
        <is>
          <t>No</t>
        </is>
      </c>
      <c r="KP24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24" t="inlineStr">
        <is>
          <t>Sriganesh Subramanian</t>
        </is>
      </c>
      <c r="KT24" s="3">
        <v>46086.458287037036</v>
      </c>
      <c r="LA24" t="b">
        <v>0</v>
      </c>
      <c r="LB24" t="inlineStr">
        <is>
          <t>No</t>
        </is>
      </c>
      <c r="LH24" t="inlineStr">
        <is>
          <t>BODY ALIGN RECOVERY</t>
        </is>
      </c>
      <c r="LO24">
        <v>0</v>
      </c>
      <c r="LP24" s="3">
        <v>46122.659502314818</v>
      </c>
      <c r="LQ24">
        <v>1</v>
      </c>
      <c r="LR24">
        <v>0.0000</v>
      </c>
      <c r="LS24">
        <v>0.0000</v>
      </c>
      <c r="LT24" s="3">
        <v>46122.659502314818</v>
      </c>
      <c r="LU24">
        <v>1</v>
      </c>
      <c r="LY24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24" t="inlineStr">
        <is>
          <t>Australia</t>
        </is>
      </c>
      <c r="MA24" t="inlineStr">
        <is>
          <t>team</t>
        </is>
      </c>
      <c r="MD24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24" t="inlineStr">
        <is>
          <t>Australia</t>
        </is>
      </c>
      <c r="MF24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L24" t="b">
        <v>0</v>
      </c>
      <c r="MM24" t="inlineStr">
        <is>
          <t>No</t>
        </is>
      </c>
      <c r="MT24">
        <v>1</v>
      </c>
      <c r="MU24" t="inlineStr">
        <is>
          <t>Any</t>
        </is>
      </c>
      <c r="NB24" t="inlineStr" s="6">
        <f>HYPERLINK("https://metagenicsd365.crm6.dynamics.com/main.aspx?etn=contact&amp;pagetype=entityrecord&amp;id=08c417ec-3763-ef11-a670-000d3a79eb45","08c417ec-3763-ef11-a670-000d3a79eb45")</f>
        <v>08c417ec-3763-ef11-a670-000d3a79eb45</v>
      </c>
      <c r="NC24" t="inlineStr">
        <is>
          <t>JASON LEJCAK CHIROPRACTOR</t>
        </is>
      </c>
      <c r="NJ24">
        <v>1</v>
      </c>
      <c r="NK24" t="inlineStr">
        <is>
          <t>Airborne</t>
        </is>
      </c>
      <c r="NR24">
        <v>0</v>
      </c>
      <c r="NS24" t="inlineStr">
        <is>
          <t>Active</t>
        </is>
      </c>
      <c r="NT24">
        <v>1</v>
      </c>
      <c r="NU24" t="inlineStr">
        <is>
          <t>Active</t>
        </is>
      </c>
      <c r="NX24" t="inlineStr">
        <is>
          <t>03 9492 1826</t>
        </is>
      </c>
      <c r="NY24" t="inlineStr">
        <is>
          <t>03 9492 1826</t>
        </is>
      </c>
      <c r="OA24">
        <v>1</v>
      </c>
      <c r="OB24" t="inlineStr">
        <is>
          <t>Default Value</t>
        </is>
      </c>
      <c r="OG24">
        <v>0</v>
      </c>
      <c r="OH24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24" t="inlineStr">
        <is>
          <t>Australian Dollar</t>
        </is>
      </c>
      <c r="OL24" t="inlineStr">
        <is>
          <t>0x000000003D8371FF</t>
        </is>
      </c>
    </row>
    <row r="25">
      <c r="C25">
        <v>1</v>
      </c>
      <c r="D25" t="inlineStr">
        <is>
          <t>Default Value</t>
        </is>
      </c>
      <c r="E25" t="inlineStr" s="6">
        <f>HYPERLINK("https://metagenicsd365.crm6.dynamics.com/main.aspx?etn=account&amp;pagetype=entityrecord&amp;id=e367f60d-0164-ef11-a671-000d3a793080","e367f60d-0164-ef11-a671-000d3a793080")</f>
        <v>e367f60d-0164-ef11-a671-000d3a793080</v>
      </c>
      <c r="F25" t="inlineStr">
        <is>
          <t>000000043378</t>
        </is>
      </c>
      <c r="G25">
        <v>1</v>
      </c>
      <c r="H25" t="inlineStr">
        <is>
          <t>Default Value</t>
        </is>
      </c>
      <c r="I25" t="inlineStr" s="6">
        <f>HYPERLINK("https://metagenicsd365.crm6.dynamics.com/main.aspx?etn=account&amp;pagetype=entityrecord&amp;id=19ce98a7-8fc2-4f5c-9722-969f9176227d","19ce98a7-8fc2-4f5c-9722-969f9176227d")</f>
        <v>19ce98a7-8fc2-4f5c-9722-969f9176227d</v>
      </c>
      <c r="M25" t="inlineStr">
        <is>
          <t>13/362-372 KINGSWAY
NSW</t>
        </is>
      </c>
      <c r="T25" t="inlineStr">
        <is>
          <t>13/362-372 KINGSWAY</t>
        </is>
      </c>
      <c r="AD25" t="inlineStr">
        <is>
          <t>NSW</t>
        </is>
      </c>
      <c r="AJ25" t="inlineStr" s="6">
        <f>HYPERLINK("https://metagenicsd365.crm6.dynamics.com/main.aspx?etn=account&amp;pagetype=entityrecord&amp;id=b67a5312-61e8-4b2c-b30c-1e03d3234542","b67a5312-61e8-4b2c-b30c-1e03d3234542")</f>
        <v>b67a5312-61e8-4b2c-b30c-1e03d3234542</v>
      </c>
      <c r="AK25">
        <v>1</v>
      </c>
      <c r="AL25" t="inlineStr">
        <is>
          <t>Default Value</t>
        </is>
      </c>
      <c r="AN25" t="inlineStr">
        <is>
          <t>40 ARMENTIERES AVENUE
NSW</t>
        </is>
      </c>
      <c r="AR25">
        <v>1</v>
      </c>
      <c r="AS25" t="inlineStr">
        <is>
          <t>Default Value</t>
        </is>
      </c>
      <c r="AU25" t="inlineStr">
        <is>
          <t>40 ARMENTIERES AVENUE</t>
        </is>
      </c>
      <c r="BC25">
        <v>1</v>
      </c>
      <c r="BD25" t="inlineStr">
        <is>
          <t>Default Value</t>
        </is>
      </c>
      <c r="BE25" t="inlineStr">
        <is>
          <t>NSW</t>
        </is>
      </c>
      <c r="BU25">
        <v>1</v>
      </c>
      <c r="BV25" t="inlineStr">
        <is>
          <t>Default Value</t>
        </is>
      </c>
      <c r="BY25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25" t="inlineStr">
        <is>
          <t>SVC_D365_CE #</t>
        </is>
      </c>
      <c r="CC25" s="3">
        <v>45530.968946759262</v>
      </c>
      <c r="CF25">
        <v>0.0000</v>
      </c>
      <c r="CG25">
        <v>0.0000</v>
      </c>
      <c r="CH25" t="b">
        <v>0</v>
      </c>
      <c r="CI25" t="inlineStr">
        <is>
          <t>No</t>
        </is>
      </c>
      <c r="CJ25">
        <v>1</v>
      </c>
      <c r="CK25" t="inlineStr">
        <is>
          <t>Default Value</t>
        </is>
      </c>
      <c r="CQ25" t="b">
        <v>0</v>
      </c>
      <c r="CR25" t="inlineStr">
        <is>
          <t>Allow</t>
        </is>
      </c>
      <c r="CS25" t="b">
        <v>0</v>
      </c>
      <c r="CT25" t="inlineStr">
        <is>
          <t>No</t>
        </is>
      </c>
      <c r="CU25" t="b">
        <v>0</v>
      </c>
      <c r="CV25" t="inlineStr">
        <is>
          <t>Allow</t>
        </is>
      </c>
      <c r="CW25" t="b">
        <v>0</v>
      </c>
      <c r="CX25" t="inlineStr">
        <is>
          <t>Allow</t>
        </is>
      </c>
      <c r="CY25" t="b">
        <v>0</v>
      </c>
      <c r="CZ25" t="inlineStr">
        <is>
          <t>Allow</t>
        </is>
      </c>
      <c r="DA25" t="b">
        <v>0</v>
      </c>
      <c r="DB25" t="inlineStr">
        <is>
          <t>Allow</t>
        </is>
      </c>
      <c r="DC25" t="b">
        <v>0</v>
      </c>
      <c r="DD25" t="inlineStr">
        <is>
          <t>Send</t>
        </is>
      </c>
      <c r="DF25" t="inlineStr">
        <is>
          <t>maydelfino1977@gmail.com</t>
        </is>
      </c>
      <c r="DG25" t="inlineStr">
        <is>
          <t>No</t>
        </is>
      </c>
      <c r="DO25">
        <v>1.0000000000</v>
      </c>
      <c r="DQ25" t="b">
        <v>1</v>
      </c>
      <c r="DR25" t="inlineStr">
        <is>
          <t>Allow</t>
        </is>
      </c>
      <c r="EA25" t="b">
        <v>0</v>
      </c>
      <c r="EB25" t="inlineStr">
        <is>
          <t>No</t>
        </is>
      </c>
      <c r="EE25" t="b">
        <v>0</v>
      </c>
      <c r="EF25" t="inlineStr">
        <is>
          <t>No</t>
        </is>
      </c>
      <c r="EJ25" t="inlineStr">
        <is>
          <t>951850001</t>
        </is>
      </c>
      <c r="EK25" t="inlineStr">
        <is>
          <t>Practitioner</t>
        </is>
      </c>
      <c r="EM25" s="1">
        <v>45948</v>
      </c>
      <c r="EO25" t="b">
        <v>1</v>
      </c>
      <c r="EP25" t="inlineStr">
        <is>
          <t>Yes</t>
        </is>
      </c>
      <c r="ES25" t="inlineStr" s="6">
        <f>HYPERLINK("https://metagenicsd365.crm6.dynamics.com/main.aspx?etn=account&amp;pagetype=entityrecord&amp;id=e29e4d35-88a7-e911-a873-000d3ae10139","e29e4d35-88a7-e911-a873-000d3ae10139")</f>
        <v>e29e4d35-88a7-e911-a873-000d3ae10139</v>
      </c>
      <c r="ET25" t="inlineStr">
        <is>
          <t>CHIROPRACTIC HEALTH BALANCE</t>
        </is>
      </c>
      <c r="EU25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25" t="inlineStr">
        <is>
          <t>Australia</t>
        </is>
      </c>
      <c r="EW25">
        <v>951850003</v>
      </c>
      <c r="EX25" t="inlineStr">
        <is>
          <t>PRA01</t>
        </is>
      </c>
      <c r="EY25" t="inlineStr" s="6">
        <f>HYPERLINK("https://metagenicsd365.crm6.dynamics.com/main.aspx?etn=meta_postcode&amp;pagetype=entityrecord&amp;id=8008247d-b2a7-e911-a873-000d3ae10cf1","8008247d-b2a7-e911-a873-000d3ae10cf1")</f>
        <v>8008247d-b2a7-e911-a873-000d3ae10cf1</v>
      </c>
      <c r="EZ25" t="inlineStr">
        <is>
          <t>2214</t>
        </is>
      </c>
      <c r="FA25" t="inlineStr" s="6">
        <f>HYPERLINK("https://metagenicsd365.crm6.dynamics.com/main.aspx?etn=meta_suburb&amp;pagetype=entityrecord&amp;id=cfb5930d-b4a7-e911-a886-000d3ae106b8","cfb5930d-b4a7-e911-a886-000d3ae106b8")</f>
        <v>cfb5930d-b4a7-e911-a886-000d3ae106b8</v>
      </c>
      <c r="FB25" t="inlineStr">
        <is>
          <t>MILPERRA</t>
        </is>
      </c>
      <c r="FC25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25" t="inlineStr">
        <is>
          <t>Australia</t>
        </is>
      </c>
      <c r="FE25" t="inlineStr">
        <is>
          <t>0000000000000043378</t>
        </is>
      </c>
      <c r="FJ25" t="inlineStr">
        <is>
          <t>Fuzzy Match Logic</t>
        </is>
      </c>
      <c r="FM25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25" t="inlineStr">
        <is>
          <t>Australia</t>
        </is>
      </c>
      <c r="FO25" t="b">
        <v>1</v>
      </c>
      <c r="FP25" t="inlineStr">
        <is>
          <t>Yes</t>
        </is>
      </c>
      <c r="FQ25" t="inlineStr">
        <is>
          <t>PRACS</t>
        </is>
      </c>
      <c r="FW25" t="b">
        <v>0</v>
      </c>
      <c r="FX25" t="inlineStr">
        <is>
          <t>No</t>
        </is>
      </c>
      <c r="GA25" t="inlineStr">
        <is>
          <t>ABL2909188</t>
        </is>
      </c>
      <c r="GD25">
        <v>951850000</v>
      </c>
      <c r="GE25" t="inlineStr">
        <is>
          <t>Pending</t>
        </is>
      </c>
      <c r="GF25">
        <v>0.0000</v>
      </c>
      <c r="GG25">
        <v>0.0000</v>
      </c>
      <c r="GH25" s="3">
        <v>46122.659502314818</v>
      </c>
      <c r="GI25">
        <v>1</v>
      </c>
      <c r="GO25" s="3">
        <v>46122.659502314818</v>
      </c>
      <c r="GR25" s="3">
        <v>46122.659502314818</v>
      </c>
      <c r="GU25" s="3">
        <v>46122.659502314818</v>
      </c>
      <c r="GY25" t="inlineStr">
        <is>
          <t>000000043378</t>
        </is>
      </c>
      <c r="GZ25" t="inlineStr">
        <is>
          <t>000000000000001</t>
        </is>
      </c>
      <c r="HB25" t="inlineStr">
        <is>
          <t>CHIROPRACTIC HEALTH BALANCE PTY LTD (1)</t>
        </is>
      </c>
      <c r="HD25" t="inlineStr" s="6">
        <f>HYPERLINK("https://metagenicsd365.crm6.dynamics.com/main.aspx?etn=account&amp;pagetype=entityrecord&amp;id=e29e4d35-88a7-e911-a873-000d3ae10139","e29e4d35-88a7-e911-a873-000d3ae10139")</f>
        <v>e29e4d35-88a7-e911-a873-000d3ae10139</v>
      </c>
      <c r="HE25" t="inlineStr">
        <is>
          <t>CHIROPRACTIC HEALTH BALANCE</t>
        </is>
      </c>
      <c r="HF25" t="inlineStr">
        <is>
          <t>ABL2895986</t>
        </is>
      </c>
      <c r="HI25">
        <v>0.0000</v>
      </c>
      <c r="HJ25">
        <v>0.0000</v>
      </c>
      <c r="HK25" s="3">
        <v>46122.659502314818</v>
      </c>
      <c r="HL25">
        <v>1</v>
      </c>
      <c r="HM25">
        <v>0.0000</v>
      </c>
      <c r="HN25">
        <v>0.0000</v>
      </c>
      <c r="HO25" s="3">
        <v>46122.659502314818</v>
      </c>
      <c r="HP25">
        <v>1</v>
      </c>
      <c r="HX25" t="inlineStr" s="6">
        <f>HYPERLINK("https://metagenicsd365.crm6.dynamics.com/main.aspx?etn=meta_paymentterm&amp;pagetype=entityrecord&amp;id=31971c9d-38ba-eb11-8236-00224817f624","31971c9d-38ba-eb11-8236-00224817f624")</f>
        <v>31971c9d-38ba-eb11-8236-00224817f624</v>
      </c>
      <c r="HY25" t="inlineStr">
        <is>
          <t>Cash</t>
        </is>
      </c>
      <c r="IC25" t="inlineStr">
        <is>
          <t>NSW</t>
        </is>
      </c>
      <c r="ID25" t="inlineStr">
        <is>
          <t>13/362-372 KINGSWAY</t>
        </is>
      </c>
      <c r="IE25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25" t="inlineStr">
        <is>
          <t>Australia</t>
        </is>
      </c>
      <c r="IG25" t="inlineStr" s="6">
        <f>HYPERLINK("https://metagenicsd365.crm6.dynamics.com/main.aspx?etn=meta_postcode&amp;pagetype=entityrecord&amp;id=241c1165-b2a7-e911-a862-000d3ae10c61","241c1165-b2a7-e911-a862-000d3ae10c61")</f>
        <v>241c1165-b2a7-e911-a862-000d3ae10c61</v>
      </c>
      <c r="IH25" t="inlineStr">
        <is>
          <t>2229</t>
        </is>
      </c>
      <c r="II25" t="inlineStr" s="6">
        <f>HYPERLINK("https://metagenicsd365.crm6.dynamics.com/main.aspx?etn=meta_suburb&amp;pagetype=entityrecord&amp;id=b0f6f14b-b6a7-e911-a862-000d3ae10c61","b0f6f14b-b6a7-e911-a862-000d3ae10c61")</f>
        <v>b0f6f14b-b6a7-e911-a862-000d3ae10c61</v>
      </c>
      <c r="IJ25" t="inlineStr">
        <is>
          <t>CARINGBAH</t>
        </is>
      </c>
      <c r="IK25" t="inlineStr" s="6">
        <f>HYPERLINK("https://metagenicsd365.crm6.dynamics.com/main.aspx?etn=meta_postcode&amp;pagetype=entityrecord&amp;id=241c1165-b2a7-e911-a862-000d3ae10c61","241c1165-b2a7-e911-a862-000d3ae10c61")</f>
        <v>241c1165-b2a7-e911-a862-000d3ae10c61</v>
      </c>
      <c r="IL25" t="inlineStr">
        <is>
          <t>2229</t>
        </is>
      </c>
      <c r="IZ25">
        <v>951850001</v>
      </c>
      <c r="JA25" t="inlineStr">
        <is>
          <t>Location</t>
        </is>
      </c>
      <c r="JE25" t="b">
        <v>0</v>
      </c>
      <c r="JF25" t="inlineStr">
        <is>
          <t>No</t>
        </is>
      </c>
      <c r="JT25">
        <v>951850001</v>
      </c>
      <c r="JU25" t="inlineStr">
        <is>
          <t>EXP - Standard Shipping</t>
        </is>
      </c>
      <c r="JY25" t="inlineStr" s="6">
        <f>HYPERLINK("https://metagenicsd365.crm6.dynamics.com/main.aspx?etn=meta_suburb&amp;pagetype=entityrecord&amp;id=b0f6f14b-b6a7-e911-a862-000d3ae10c61","b0f6f14b-b6a7-e911-a862-000d3ae10c61")</f>
        <v>b0f6f14b-b6a7-e911-a862-000d3ae10c61</v>
      </c>
      <c r="JZ25" t="inlineStr">
        <is>
          <t>CARINGBAH</t>
        </is>
      </c>
      <c r="KA25" t="inlineStr">
        <is>
          <t>Yes</t>
        </is>
      </c>
      <c r="KB25">
        <v>0.0000</v>
      </c>
      <c r="KC25">
        <v>0.0000</v>
      </c>
      <c r="KD25" s="3">
        <v>46122.659502314818</v>
      </c>
      <c r="KE25">
        <v>1</v>
      </c>
      <c r="KF25">
        <v>0.0000</v>
      </c>
      <c r="KG25">
        <v>0.0000</v>
      </c>
      <c r="KH25" s="3">
        <v>46122.659502314818</v>
      </c>
      <c r="KI25">
        <v>1</v>
      </c>
      <c r="KJ25">
        <v>0.0000</v>
      </c>
      <c r="KK25">
        <v>0.0000</v>
      </c>
      <c r="KL25" s="3">
        <v>46122.659502314818</v>
      </c>
      <c r="KM25">
        <v>1</v>
      </c>
      <c r="KN25" t="b">
        <v>0</v>
      </c>
      <c r="KO25" t="inlineStr">
        <is>
          <t>No</t>
        </is>
      </c>
      <c r="KP25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KQ25" t="inlineStr">
        <is>
          <t>SVC_D365_CE #</t>
        </is>
      </c>
      <c r="KT25" s="3">
        <v>46099.314108796294</v>
      </c>
      <c r="LA25" t="b">
        <v>0</v>
      </c>
      <c r="LB25" t="inlineStr">
        <is>
          <t>No</t>
        </is>
      </c>
      <c r="LH25" t="inlineStr">
        <is>
          <t>CLOSED CHIROPRACTIC HEALTH BALANCE PTY LTD (1)</t>
        </is>
      </c>
      <c r="LO25">
        <v>0</v>
      </c>
      <c r="LP25" s="3">
        <v>46122.659502314818</v>
      </c>
      <c r="LQ25">
        <v>1</v>
      </c>
      <c r="LR25">
        <v>0.0000</v>
      </c>
      <c r="LS25">
        <v>0.0000</v>
      </c>
      <c r="LT25" s="3">
        <v>46122.659502314818</v>
      </c>
      <c r="LU25">
        <v>1</v>
      </c>
      <c r="LY25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25" t="inlineStr">
        <is>
          <t>Australia</t>
        </is>
      </c>
      <c r="MA25" t="inlineStr">
        <is>
          <t>team</t>
        </is>
      </c>
      <c r="MD25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25" t="inlineStr">
        <is>
          <t>Australia</t>
        </is>
      </c>
      <c r="MF25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J25" t="inlineStr" s="6">
        <f>HYPERLINK("https://metagenicsd365.crm6.dynamics.com/main.aspx?etn=account&amp;pagetype=entityrecord&amp;id=e29e4d35-88a7-e911-a873-000d3ae10139","e29e4d35-88a7-e911-a873-000d3ae10139")</f>
        <v>e29e4d35-88a7-e911-a873-000d3ae10139</v>
      </c>
      <c r="MK25" t="inlineStr">
        <is>
          <t>CHIROPRACTIC HEALTH BALANCE</t>
        </is>
      </c>
      <c r="ML25" t="b">
        <v>0</v>
      </c>
      <c r="MM25" t="inlineStr">
        <is>
          <t>No</t>
        </is>
      </c>
      <c r="MT25">
        <v>1</v>
      </c>
      <c r="MU25" t="inlineStr">
        <is>
          <t>Any</t>
        </is>
      </c>
      <c r="NJ25">
        <v>1</v>
      </c>
      <c r="NK25" t="inlineStr">
        <is>
          <t>Airborne</t>
        </is>
      </c>
      <c r="NR25">
        <v>1</v>
      </c>
      <c r="NS25" t="inlineStr">
        <is>
          <t>Inactive</t>
        </is>
      </c>
      <c r="NT25">
        <v>2</v>
      </c>
      <c r="NU25" t="inlineStr">
        <is>
          <t>Inactive</t>
        </is>
      </c>
      <c r="NY25" t="inlineStr">
        <is>
          <t>0414 806 286</t>
        </is>
      </c>
      <c r="OA25">
        <v>1</v>
      </c>
      <c r="OB25" t="inlineStr">
        <is>
          <t>Default Value</t>
        </is>
      </c>
      <c r="OG25">
        <v>0</v>
      </c>
      <c r="OH25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25" t="inlineStr">
        <is>
          <t>Australian Dollar</t>
        </is>
      </c>
      <c r="OL25" t="inlineStr">
        <is>
          <t>0x000000003E1079B9</t>
        </is>
      </c>
    </row>
    <row r="26">
      <c r="C26">
        <v>1</v>
      </c>
      <c r="D26" t="inlineStr">
        <is>
          <t>Default Value</t>
        </is>
      </c>
      <c r="E26" t="inlineStr" s="6">
        <f>HYPERLINK("https://metagenicsd365.crm6.dynamics.com/main.aspx?etn=account&amp;pagetype=entityrecord&amp;id=dcb65b14-f252-ef11-bfe3-000d3a793080","dcb65b14-f252-ef11-bfe3-000d3a793080")</f>
        <v>dcb65b14-f252-ef11-bfe3-000d3a793080</v>
      </c>
      <c r="F26" t="inlineStr">
        <is>
          <t>000001016469</t>
        </is>
      </c>
      <c r="G26">
        <v>1</v>
      </c>
      <c r="H26" t="inlineStr">
        <is>
          <t>Default Value</t>
        </is>
      </c>
      <c r="I26" t="inlineStr" s="6">
        <f>HYPERLINK("https://metagenicsd365.crm6.dynamics.com/main.aspx?etn=account&amp;pagetype=entityrecord&amp;id=9615dcda-7b82-42a9-9518-91bace3db942","9615dcda-7b82-42a9-9518-91bace3db942")</f>
        <v>9615dcda-7b82-42a9-9518-91bace3db942</v>
      </c>
      <c r="M26" t="inlineStr">
        <is>
          <t>65 WINGEWARRA STREET
NSW</t>
        </is>
      </c>
      <c r="T26" t="inlineStr">
        <is>
          <t>65 WINGEWARRA STREET</t>
        </is>
      </c>
      <c r="AD26" t="inlineStr">
        <is>
          <t>NSW</t>
        </is>
      </c>
      <c r="AJ26" t="inlineStr" s="6">
        <f>HYPERLINK("https://metagenicsd365.crm6.dynamics.com/main.aspx?etn=account&amp;pagetype=entityrecord&amp;id=431b1497-6e25-426b-87bd-9359f5304814","431b1497-6e25-426b-87bd-9359f5304814")</f>
        <v>431b1497-6e25-426b-87bd-9359f5304814</v>
      </c>
      <c r="AK26">
        <v>1</v>
      </c>
      <c r="AL26" t="inlineStr">
        <is>
          <t>Default Value</t>
        </is>
      </c>
      <c r="AN26" t="inlineStr">
        <is>
          <t>65 WINGEWARRA STREET
NSW</t>
        </is>
      </c>
      <c r="AR26">
        <v>1</v>
      </c>
      <c r="AS26" t="inlineStr">
        <is>
          <t>Default Value</t>
        </is>
      </c>
      <c r="AU26" t="inlineStr">
        <is>
          <t>65 WINGEWARRA STREET</t>
        </is>
      </c>
      <c r="BC26">
        <v>1</v>
      </c>
      <c r="BD26" t="inlineStr">
        <is>
          <t>Default Value</t>
        </is>
      </c>
      <c r="BE26" t="inlineStr">
        <is>
          <t>NSW</t>
        </is>
      </c>
      <c r="BU26">
        <v>1</v>
      </c>
      <c r="BV26" t="inlineStr">
        <is>
          <t>Default Value</t>
        </is>
      </c>
      <c r="BY26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26" t="inlineStr">
        <is>
          <t>SVC_D365_CE #</t>
        </is>
      </c>
      <c r="CC26" s="3">
        <v>45509.260636574072</v>
      </c>
      <c r="CF26">
        <v>0.0000</v>
      </c>
      <c r="CG26">
        <v>0.0000</v>
      </c>
      <c r="CH26" t="b">
        <v>0</v>
      </c>
      <c r="CI26" t="inlineStr">
        <is>
          <t>No</t>
        </is>
      </c>
      <c r="CJ26">
        <v>1</v>
      </c>
      <c r="CK26" t="inlineStr">
        <is>
          <t>Default Value</t>
        </is>
      </c>
      <c r="CN26" t="inlineStr" s="6">
        <f>HYPERLINK("https://metagenicsd365.crm6.dynamics.com/main.aspx?etn=pricelevel&amp;pagetype=entityrecord&amp;id=10e3d934-44a7-e911-a86f-000d3ae10f1f","10e3d934-44a7-e911-a86f-000d3ae10f1f")</f>
        <v>10e3d934-44a7-e911-a86f-000d3ae10f1f</v>
      </c>
      <c r="CO26" t="inlineStr">
        <is>
          <t>Retail Products Australia</t>
        </is>
      </c>
      <c r="CQ26" t="b">
        <v>0</v>
      </c>
      <c r="CR26" t="inlineStr">
        <is>
          <t>Allow</t>
        </is>
      </c>
      <c r="CS26" t="b">
        <v>0</v>
      </c>
      <c r="CT26" t="inlineStr">
        <is>
          <t>No</t>
        </is>
      </c>
      <c r="CU26" t="b">
        <v>0</v>
      </c>
      <c r="CV26" t="inlineStr">
        <is>
          <t>Allow</t>
        </is>
      </c>
      <c r="CW26" t="b">
        <v>0</v>
      </c>
      <c r="CX26" t="inlineStr">
        <is>
          <t>Allow</t>
        </is>
      </c>
      <c r="CY26" t="b">
        <v>0</v>
      </c>
      <c r="CZ26" t="inlineStr">
        <is>
          <t>Allow</t>
        </is>
      </c>
      <c r="DA26" t="b">
        <v>0</v>
      </c>
      <c r="DB26" t="inlineStr">
        <is>
          <t>Allow</t>
        </is>
      </c>
      <c r="DC26" t="b">
        <v>0</v>
      </c>
      <c r="DD26" t="inlineStr">
        <is>
          <t>Send</t>
        </is>
      </c>
      <c r="DF26" t="inlineStr">
        <is>
          <t>dubbo@chempro.com.au</t>
        </is>
      </c>
      <c r="DO26">
        <v>1.0000000000</v>
      </c>
      <c r="DQ26" t="b">
        <v>1</v>
      </c>
      <c r="DR26" t="inlineStr">
        <is>
          <t>Allow</t>
        </is>
      </c>
      <c r="EA26" t="b">
        <v>0</v>
      </c>
      <c r="EB26" t="inlineStr">
        <is>
          <t>No</t>
        </is>
      </c>
      <c r="EE26" t="b">
        <v>0</v>
      </c>
      <c r="EF26" t="inlineStr">
        <is>
          <t>No</t>
        </is>
      </c>
      <c r="EJ26" t="inlineStr">
        <is>
          <t>951850000</t>
        </is>
      </c>
      <c r="EK26" t="inlineStr">
        <is>
          <t>Retail</t>
        </is>
      </c>
      <c r="EL26" s="3">
        <v>45509.240162037036</v>
      </c>
      <c r="EM26" s="3">
        <v>93138.99998842593</v>
      </c>
      <c r="EO26" t="b">
        <v>0</v>
      </c>
      <c r="EP26" t="inlineStr">
        <is>
          <t>No</t>
        </is>
      </c>
      <c r="ER26" t="inlineStr">
        <is>
          <t>https://metagenicscorpaus.sharepoint.com/:f:/s/TMsRETAIL/Epm8NVX9p5xEi0qi5R2n3DgBLYkMohYbqhNLiHroIr0BtQ?e=aUcHDC</t>
        </is>
      </c>
      <c r="ES26" t="inlineStr" s="6">
        <f>HYPERLINK("https://metagenicsd365.crm6.dynamics.com/main.aspx?etn=account&amp;pagetype=entityrecord&amp;id=0831a021-85c7-ec11-a7b5-00224818074f","0831a021-85c7-ec11-a7b5-00224818074f")</f>
        <v>0831a021-85c7-ec11-a7b5-00224818074f</v>
      </c>
      <c r="ET26" t="inlineStr">
        <is>
          <t>DUBBO CHEMPRO CHEMIST</t>
        </is>
      </c>
      <c r="EU26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26" t="inlineStr">
        <is>
          <t>Australia</t>
        </is>
      </c>
      <c r="EW26">
        <v>951850014</v>
      </c>
      <c r="EX26" t="inlineStr">
        <is>
          <t>RETON</t>
        </is>
      </c>
      <c r="EY26" t="inlineStr" s="6">
        <f>HYPERLINK("https://metagenicsd365.crm6.dynamics.com/main.aspx?etn=meta_postcode&amp;pagetype=entityrecord&amp;id=d79be312-b2a7-e911-a875-000d3ae104e7","d79be312-b2a7-e911-a875-000d3ae104e7")</f>
        <v>d79be312-b2a7-e911-a875-000d3ae104e7</v>
      </c>
      <c r="EZ26" t="inlineStr">
        <is>
          <t>2830</t>
        </is>
      </c>
      <c r="FA26" t="inlineStr" s="6">
        <f>HYPERLINK("https://metagenicsd365.crm6.dynamics.com/main.aspx?etn=meta_suburb&amp;pagetype=entityrecord&amp;id=98d1cec0-b4a7-e911-a862-000d3ae10c61","98d1cec0-b4a7-e911-a862-000d3ae10c61")</f>
        <v>98d1cec0-b4a7-e911-a862-000d3ae10c61</v>
      </c>
      <c r="FB26" t="inlineStr">
        <is>
          <t>DUBBO</t>
        </is>
      </c>
      <c r="FC26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26" t="inlineStr">
        <is>
          <t>Australia</t>
        </is>
      </c>
      <c r="FE26" t="inlineStr">
        <is>
          <t>0000000000001016469</t>
        </is>
      </c>
      <c r="FM26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26" t="inlineStr">
        <is>
          <t>Australia</t>
        </is>
      </c>
      <c r="FO26" t="b">
        <v>1</v>
      </c>
      <c r="FP26" t="inlineStr">
        <is>
          <t>Yes</t>
        </is>
      </c>
      <c r="FQ26" t="inlineStr">
        <is>
          <t>RETON</t>
        </is>
      </c>
      <c r="FW26" t="b">
        <v>0</v>
      </c>
      <c r="FX26" t="inlineStr">
        <is>
          <t>No</t>
        </is>
      </c>
      <c r="GA26" t="inlineStr">
        <is>
          <t>ABL10113344</t>
        </is>
      </c>
      <c r="GB26" t="inlineStr" s="6">
        <f>HYPERLINK("https://metagenicsd365.crm6.dynamics.com/main.aspx?etn=meta_group&amp;pagetype=entityrecord&amp;id=1e6cfef6-b1a7-e911-a873-000d3ae10139","1e6cfef6-b1a7-e911-a873-000d3ae10139")</f>
        <v>1e6cfef6-b1a7-e911-a873-000d3ae10139</v>
      </c>
      <c r="GC26" t="inlineStr">
        <is>
          <t>Chempro</t>
        </is>
      </c>
      <c r="GD26">
        <v>951850000</v>
      </c>
      <c r="GE26" t="inlineStr">
        <is>
          <t>Pending</t>
        </is>
      </c>
      <c r="GF26">
        <v>0.0000</v>
      </c>
      <c r="GG26">
        <v>0.0000</v>
      </c>
      <c r="GH26" s="3">
        <v>46122.659502314818</v>
      </c>
      <c r="GI26">
        <v>1</v>
      </c>
      <c r="GL26" t="b">
        <v>1</v>
      </c>
      <c r="GM26" t="inlineStr">
        <is>
          <t>Yes</t>
        </is>
      </c>
      <c r="GO26" s="3">
        <v>46122.659502314818</v>
      </c>
      <c r="GR26" s="3">
        <v>46122.659502314818</v>
      </c>
      <c r="GU26" s="3">
        <v>46122.659502314818</v>
      </c>
      <c r="GY26" t="inlineStr">
        <is>
          <t>000001016469</t>
        </is>
      </c>
      <c r="GZ26" t="inlineStr">
        <is>
          <t>000000000060702</t>
        </is>
      </c>
      <c r="HB26" t="inlineStr">
        <is>
          <t>DUBBO CHEMPRO CHEMIST(60702)</t>
        </is>
      </c>
      <c r="HI26">
        <v>0.0000</v>
      </c>
      <c r="HJ26">
        <v>0.0000</v>
      </c>
      <c r="HK26" s="3">
        <v>46122.659502314818</v>
      </c>
      <c r="HL26">
        <v>1</v>
      </c>
      <c r="HM26">
        <v>0.0000</v>
      </c>
      <c r="HN26">
        <v>0.0000</v>
      </c>
      <c r="HO26" s="3">
        <v>46122.659502314818</v>
      </c>
      <c r="HP26">
        <v>1</v>
      </c>
      <c r="HX26" t="inlineStr" s="6">
        <f>HYPERLINK("https://metagenicsd365.crm6.dynamics.com/main.aspx?etn=meta_paymentterm&amp;pagetype=entityrecord&amp;id=0768c959-38ba-eb11-8236-00224817f624","0768c959-38ba-eb11-8236-00224817f624")</f>
        <v>0768c959-38ba-eb11-8236-00224817f624</v>
      </c>
      <c r="HY26" t="inlineStr">
        <is>
          <t>Net 30 Days End of Month</t>
        </is>
      </c>
      <c r="IC26" t="inlineStr">
        <is>
          <t>NSW</t>
        </is>
      </c>
      <c r="ID26" t="inlineStr">
        <is>
          <t>65 WINGEWARRA STREET</t>
        </is>
      </c>
      <c r="IE26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26" t="inlineStr">
        <is>
          <t>Australia</t>
        </is>
      </c>
      <c r="IG26" t="inlineStr" s="6">
        <f>HYPERLINK("https://metagenicsd365.crm6.dynamics.com/main.aspx?etn=meta_postcode&amp;pagetype=entityrecord&amp;id=d79be312-b2a7-e911-a875-000d3ae104e7","d79be312-b2a7-e911-a875-000d3ae104e7")</f>
        <v>d79be312-b2a7-e911-a875-000d3ae104e7</v>
      </c>
      <c r="IH26" t="inlineStr">
        <is>
          <t>2830</t>
        </is>
      </c>
      <c r="II26" t="inlineStr" s="6">
        <f>HYPERLINK("https://metagenicsd365.crm6.dynamics.com/main.aspx?etn=meta_suburb&amp;pagetype=entityrecord&amp;id=98d1cec0-b4a7-e911-a862-000d3ae10c61","98d1cec0-b4a7-e911-a862-000d3ae10c61")</f>
        <v>98d1cec0-b4a7-e911-a862-000d3ae10c61</v>
      </c>
      <c r="IJ26" t="inlineStr">
        <is>
          <t>DUBBO</t>
        </is>
      </c>
      <c r="IK26" t="inlineStr" s="6">
        <f>HYPERLINK("https://metagenicsd365.crm6.dynamics.com/main.aspx?etn=meta_postcode&amp;pagetype=entityrecord&amp;id=d79be312-b2a7-e911-a875-000d3ae104e7","d79be312-b2a7-e911-a875-000d3ae104e7")</f>
        <v>d79be312-b2a7-e911-a875-000d3ae104e7</v>
      </c>
      <c r="IL26" t="inlineStr">
        <is>
          <t>2830</t>
        </is>
      </c>
      <c r="IZ26">
        <v>951850001</v>
      </c>
      <c r="JA26" t="inlineStr">
        <is>
          <t>Location</t>
        </is>
      </c>
      <c r="JE26" t="b">
        <v>0</v>
      </c>
      <c r="JF26" t="inlineStr">
        <is>
          <t>No</t>
        </is>
      </c>
      <c r="JI26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JJ26" t="inlineStr">
        <is>
          <t># HWORLD</t>
        </is>
      </c>
      <c r="JK26" t="inlineStr" s="6">
        <f>HYPERLINK("https://metagenicsd365.crm6.dynamics.com/main.aspx?etn=meta_segment&amp;pagetype=entityrecord&amp;id=44e3a56e-8030-eb11-a813-000d3ae15585","44e3a56e-8030-eb11-a813-000d3ae15585")</f>
        <v>44e3a56e-8030-eb11-a813-000d3ae15585</v>
      </c>
      <c r="JL26" t="inlineStr">
        <is>
          <t>10 - New accounts opened</t>
        </is>
      </c>
      <c r="JM26" t="inlineStr" s="6">
        <f>HYPERLINK("https://metagenicsd365.crm6.dynamics.com/main.aspx?etn=territory&amp;pagetype=entityrecord&amp;id=c64322e5-8030-eb11-a813-000d3ae15585","c64322e5-8030-eb11-a813-000d3ae15585")</f>
        <v>c64322e5-8030-eb11-a813-000d3ae15585</v>
      </c>
      <c r="JN26" t="inlineStr">
        <is>
          <t>ARH0</t>
        </is>
      </c>
      <c r="JT26">
        <v>951850001</v>
      </c>
      <c r="JU26" t="inlineStr">
        <is>
          <t>EXP - Standard Shipping</t>
        </is>
      </c>
      <c r="JY26" t="inlineStr" s="6">
        <f>HYPERLINK("https://metagenicsd365.crm6.dynamics.com/main.aspx?etn=meta_suburb&amp;pagetype=entityrecord&amp;id=98d1cec0-b4a7-e911-a862-000d3ae10c61","98d1cec0-b4a7-e911-a862-000d3ae10c61")</f>
        <v>98d1cec0-b4a7-e911-a862-000d3ae10c61</v>
      </c>
      <c r="JZ26" t="inlineStr">
        <is>
          <t>DUBBO</t>
        </is>
      </c>
      <c r="KB26">
        <v>0.0000</v>
      </c>
      <c r="KC26">
        <v>0.0000</v>
      </c>
      <c r="KD26" s="3">
        <v>46122.659502314818</v>
      </c>
      <c r="KE26">
        <v>1</v>
      </c>
      <c r="KF26">
        <v>0.0000</v>
      </c>
      <c r="KG26">
        <v>0.0000</v>
      </c>
      <c r="KH26" s="3">
        <v>46122.659502314818</v>
      </c>
      <c r="KI26">
        <v>1</v>
      </c>
      <c r="KJ26">
        <v>0.0000</v>
      </c>
      <c r="KK26">
        <v>0.0000</v>
      </c>
      <c r="KL26" s="3">
        <v>46122.659502314818</v>
      </c>
      <c r="KM26">
        <v>1</v>
      </c>
      <c r="KN26" t="b">
        <v>0</v>
      </c>
      <c r="KO26" t="inlineStr">
        <is>
          <t>No</t>
        </is>
      </c>
      <c r="KP26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26" t="inlineStr">
        <is>
          <t>Sriganesh Subramanian</t>
        </is>
      </c>
      <c r="KT26" s="3">
        <v>46086.462534722225</v>
      </c>
      <c r="LA26" t="b">
        <v>0</v>
      </c>
      <c r="LB26" t="inlineStr">
        <is>
          <t>No</t>
        </is>
      </c>
      <c r="LH26" t="inlineStr">
        <is>
          <t>DUBBO CHEMPRO CHEMIST(60702)</t>
        </is>
      </c>
      <c r="LO26">
        <v>0</v>
      </c>
      <c r="LP26" s="3">
        <v>46122.659502314818</v>
      </c>
      <c r="LQ26">
        <v>1</v>
      </c>
      <c r="LR26">
        <v>0.0000</v>
      </c>
      <c r="LS26">
        <v>0.0000</v>
      </c>
      <c r="LT26" s="3">
        <v>46122.659502314818</v>
      </c>
      <c r="LU26">
        <v>1</v>
      </c>
      <c r="LY26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26" t="inlineStr">
        <is>
          <t>Australia</t>
        </is>
      </c>
      <c r="MA26" t="inlineStr">
        <is>
          <t>team</t>
        </is>
      </c>
      <c r="MD26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26" t="inlineStr">
        <is>
          <t>Australia</t>
        </is>
      </c>
      <c r="MF26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J26" t="inlineStr" s="6">
        <f>HYPERLINK("https://metagenicsd365.crm6.dynamics.com/main.aspx?etn=account&amp;pagetype=entityrecord&amp;id=0831a021-85c7-ec11-a7b5-00224818074f","0831a021-85c7-ec11-a7b5-00224818074f")</f>
        <v>0831a021-85c7-ec11-a7b5-00224818074f</v>
      </c>
      <c r="MK26" t="inlineStr">
        <is>
          <t>DUBBO CHEMPRO CHEMIST</t>
        </is>
      </c>
      <c r="ML26" t="b">
        <v>0</v>
      </c>
      <c r="MM26" t="inlineStr">
        <is>
          <t>No</t>
        </is>
      </c>
      <c r="MT26">
        <v>1</v>
      </c>
      <c r="MU26" t="inlineStr">
        <is>
          <t>Any</t>
        </is>
      </c>
      <c r="NJ26">
        <v>1</v>
      </c>
      <c r="NK26" t="inlineStr">
        <is>
          <t>Airborne</t>
        </is>
      </c>
      <c r="NR26">
        <v>0</v>
      </c>
      <c r="NS26" t="inlineStr">
        <is>
          <t>Active</t>
        </is>
      </c>
      <c r="NT26">
        <v>1</v>
      </c>
      <c r="NU26" t="inlineStr">
        <is>
          <t>Active</t>
        </is>
      </c>
      <c r="NY26" t="inlineStr">
        <is>
          <t>02 6882 4544</t>
        </is>
      </c>
      <c r="OA26">
        <v>1</v>
      </c>
      <c r="OB26" t="inlineStr">
        <is>
          <t>Default Value</t>
        </is>
      </c>
      <c r="OG26">
        <v>0</v>
      </c>
      <c r="OH26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26" t="inlineStr">
        <is>
          <t>Australian Dollar</t>
        </is>
      </c>
      <c r="OL26" t="inlineStr">
        <is>
          <t>0x000000003D838015</t>
        </is>
      </c>
    </row>
    <row r="27">
      <c r="C27">
        <v>1</v>
      </c>
      <c r="D27" t="inlineStr">
        <is>
          <t>Default Value</t>
        </is>
      </c>
      <c r="E27" t="inlineStr" s="6">
        <f>HYPERLINK("https://metagenicsd365.crm6.dynamics.com/main.aspx?etn=account&amp;pagetype=entityrecord&amp;id=f160fedb-b253-ef11-bfe3-000d3a793080","f160fedb-b253-ef11-bfe3-000d3a793080")</f>
        <v>f160fedb-b253-ef11-bfe3-000d3a793080</v>
      </c>
      <c r="F27" t="inlineStr">
        <is>
          <t>000000070311</t>
        </is>
      </c>
      <c r="G27">
        <v>1</v>
      </c>
      <c r="H27" t="inlineStr">
        <is>
          <t>Default Value</t>
        </is>
      </c>
      <c r="I27" t="inlineStr" s="6">
        <f>HYPERLINK("https://metagenicsd365.crm6.dynamics.com/main.aspx?etn=account&amp;pagetype=entityrecord&amp;id=650a4bf7-efcc-41d4-ae9d-3b64c44fa450","650a4bf7-efcc-41d4-ae9d-3b64c44fa450")</f>
        <v>650a4bf7-efcc-41d4-ae9d-3b64c44fa450</v>
      </c>
      <c r="M27" t="inlineStr">
        <is>
          <t>65 LODDON DRIVE
VIC</t>
        </is>
      </c>
      <c r="T27" t="inlineStr">
        <is>
          <t>65 LODDON DRIVE</t>
        </is>
      </c>
      <c r="AD27" t="inlineStr">
        <is>
          <t>VIC</t>
        </is>
      </c>
      <c r="AJ27" t="inlineStr" s="6">
        <f>HYPERLINK("https://metagenicsd365.crm6.dynamics.com/main.aspx?etn=account&amp;pagetype=entityrecord&amp;id=1e7ef67c-f06b-44a7-a7c4-b8f24deaa9b8","1e7ef67c-f06b-44a7-a7c4-b8f24deaa9b8")</f>
        <v>1e7ef67c-f06b-44a7-a7c4-b8f24deaa9b8</v>
      </c>
      <c r="AK27">
        <v>1</v>
      </c>
      <c r="AL27" t="inlineStr">
        <is>
          <t>Default Value</t>
        </is>
      </c>
      <c r="AN27" t="inlineStr">
        <is>
          <t>21 Delphi Avenue
VIC</t>
        </is>
      </c>
      <c r="AR27">
        <v>1</v>
      </c>
      <c r="AS27" t="inlineStr">
        <is>
          <t>Default Value</t>
        </is>
      </c>
      <c r="AU27" t="inlineStr">
        <is>
          <t>21 Delphi Avenue</t>
        </is>
      </c>
      <c r="BC27">
        <v>1</v>
      </c>
      <c r="BD27" t="inlineStr">
        <is>
          <t>Default Value</t>
        </is>
      </c>
      <c r="BE27" t="inlineStr">
        <is>
          <t>VIC</t>
        </is>
      </c>
      <c r="BU27">
        <v>1</v>
      </c>
      <c r="BV27" t="inlineStr">
        <is>
          <t>Default Value</t>
        </is>
      </c>
      <c r="BY27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27" t="inlineStr">
        <is>
          <t>SVC_D365_CE #</t>
        </is>
      </c>
      <c r="CC27" s="3">
        <v>45510.218958333331</v>
      </c>
      <c r="CF27">
        <v>0.0000</v>
      </c>
      <c r="CG27">
        <v>0.0000</v>
      </c>
      <c r="CH27" t="b">
        <v>0</v>
      </c>
      <c r="CI27" t="inlineStr">
        <is>
          <t>No</t>
        </is>
      </c>
      <c r="CJ27">
        <v>1</v>
      </c>
      <c r="CK27" t="inlineStr">
        <is>
          <t>Default Value</t>
        </is>
      </c>
      <c r="CN27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27" t="inlineStr">
        <is>
          <t>All Products Australia</t>
        </is>
      </c>
      <c r="CQ27" t="b">
        <v>0</v>
      </c>
      <c r="CR27" t="inlineStr">
        <is>
          <t>Allow</t>
        </is>
      </c>
      <c r="CS27" t="b">
        <v>0</v>
      </c>
      <c r="CT27" t="inlineStr">
        <is>
          <t>No</t>
        </is>
      </c>
      <c r="CU27" t="b">
        <v>0</v>
      </c>
      <c r="CV27" t="inlineStr">
        <is>
          <t>Allow</t>
        </is>
      </c>
      <c r="CW27" t="b">
        <v>0</v>
      </c>
      <c r="CX27" t="inlineStr">
        <is>
          <t>Allow</t>
        </is>
      </c>
      <c r="CY27" t="b">
        <v>0</v>
      </c>
      <c r="CZ27" t="inlineStr">
        <is>
          <t>Allow</t>
        </is>
      </c>
      <c r="DA27" t="b">
        <v>0</v>
      </c>
      <c r="DB27" t="inlineStr">
        <is>
          <t>Allow</t>
        </is>
      </c>
      <c r="DC27" t="b">
        <v>0</v>
      </c>
      <c r="DD27" t="inlineStr">
        <is>
          <t>Send</t>
        </is>
      </c>
      <c r="DF27" t="inlineStr">
        <is>
          <t>info@julideturkernw.com</t>
        </is>
      </c>
      <c r="DO27">
        <v>1.0000000000</v>
      </c>
      <c r="DQ27" t="b">
        <v>1</v>
      </c>
      <c r="DR27" t="inlineStr">
        <is>
          <t>Allow</t>
        </is>
      </c>
      <c r="EA27" t="b">
        <v>0</v>
      </c>
      <c r="EB27" t="inlineStr">
        <is>
          <t>No</t>
        </is>
      </c>
      <c r="EE27" t="b">
        <v>0</v>
      </c>
      <c r="EF27" t="inlineStr">
        <is>
          <t>No</t>
        </is>
      </c>
      <c r="EJ27" t="inlineStr">
        <is>
          <t>951850001</t>
        </is>
      </c>
      <c r="EK27" t="inlineStr">
        <is>
          <t>Practitioner</t>
        </is>
      </c>
      <c r="EL27" s="3">
        <v>45510.211273148147</v>
      </c>
      <c r="EM27" s="3">
        <v>93138.99998842593</v>
      </c>
      <c r="EO27" t="b">
        <v>1</v>
      </c>
      <c r="EP27" t="inlineStr">
        <is>
          <t>Yes</t>
        </is>
      </c>
      <c r="ES27" t="inlineStr" s="6">
        <f>HYPERLINK("https://metagenicsd365.crm6.dynamics.com/main.aspx?etn=account&amp;pagetype=entityrecord&amp;id=fb88b4fa-91a7-e911-a873-000d3ae10cf1","fb88b4fa-91a7-e911-a873-000d3ae10cf1")</f>
        <v>fb88b4fa-91a7-e911-a873-000d3ae10cf1</v>
      </c>
      <c r="ET27" t="inlineStr">
        <is>
          <t>JULIDE TURKER NATUROPATH</t>
        </is>
      </c>
      <c r="EU27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27" t="inlineStr">
        <is>
          <t>Australia</t>
        </is>
      </c>
      <c r="EW27">
        <v>951850005</v>
      </c>
      <c r="EX27" t="inlineStr">
        <is>
          <t>PRA04</t>
        </is>
      </c>
      <c r="EY27" t="inlineStr" s="6">
        <f>HYPERLINK("https://metagenicsd365.crm6.dynamics.com/main.aspx?etn=meta_postcode&amp;pagetype=entityrecord&amp;id=c4c1bf41-b2a7-e911-a886-000d3ae106b8","c4c1bf41-b2a7-e911-a886-000d3ae106b8")</f>
        <v>c4c1bf41-b2a7-e911-a886-000d3ae106b8</v>
      </c>
      <c r="EZ27" t="inlineStr">
        <is>
          <t>3752</t>
        </is>
      </c>
      <c r="FA27" t="inlineStr" s="6">
        <f>HYPERLINK("https://metagenicsd365.crm6.dynamics.com/main.aspx?etn=meta_suburb&amp;pagetype=entityrecord&amp;id=6f186cae-b4a7-e911-a862-000d3ae10c61","6f186cae-b4a7-e911-a862-000d3ae10c61")</f>
        <v>6f186cae-b4a7-e911-a862-000d3ae10c61</v>
      </c>
      <c r="FB27" t="inlineStr">
        <is>
          <t>SOUTH MORANG</t>
        </is>
      </c>
      <c r="FC27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27" t="inlineStr">
        <is>
          <t>Australia</t>
        </is>
      </c>
      <c r="FE27" t="inlineStr">
        <is>
          <t>0000000000000070311</t>
        </is>
      </c>
      <c r="FM27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27" t="inlineStr">
        <is>
          <t>Australia</t>
        </is>
      </c>
      <c r="FO27" t="b">
        <v>1</v>
      </c>
      <c r="FP27" t="inlineStr">
        <is>
          <t>Yes</t>
        </is>
      </c>
      <c r="FQ27" t="inlineStr">
        <is>
          <t>PRACS</t>
        </is>
      </c>
      <c r="FW27" t="b">
        <v>0</v>
      </c>
      <c r="FX27" t="inlineStr">
        <is>
          <t>No</t>
        </is>
      </c>
      <c r="GA27" t="inlineStr">
        <is>
          <t>ABL10123081</t>
        </is>
      </c>
      <c r="GD27">
        <v>951850000</v>
      </c>
      <c r="GE27" t="inlineStr">
        <is>
          <t>Pending</t>
        </is>
      </c>
      <c r="GF27">
        <v>0.0000</v>
      </c>
      <c r="GG27">
        <v>0.0000</v>
      </c>
      <c r="GH27" s="3">
        <v>46122.659502314818</v>
      </c>
      <c r="GI27">
        <v>1</v>
      </c>
      <c r="GJ27" t="b">
        <v>1</v>
      </c>
      <c r="GK27" t="inlineStr">
        <is>
          <t>Yes</t>
        </is>
      </c>
      <c r="GO27" s="3">
        <v>46122.659502314818</v>
      </c>
      <c r="GR27" s="3">
        <v>46122.659502314818</v>
      </c>
      <c r="GU27" s="3">
        <v>46122.659502314818</v>
      </c>
      <c r="GY27" t="inlineStr">
        <is>
          <t>000000070311</t>
        </is>
      </c>
      <c r="GZ27" t="inlineStr">
        <is>
          <t>ABL10123081</t>
        </is>
      </c>
      <c r="HB27" t="inlineStr">
        <is>
          <t>IDRIS CHKAIK</t>
        </is>
      </c>
      <c r="HI27">
        <v>0.0000</v>
      </c>
      <c r="HJ27">
        <v>0.0000</v>
      </c>
      <c r="HK27" s="3">
        <v>46122.659502314818</v>
      </c>
      <c r="HL27">
        <v>1</v>
      </c>
      <c r="HM27">
        <v>0.0000</v>
      </c>
      <c r="HN27">
        <v>0.0000</v>
      </c>
      <c r="HO27" s="3">
        <v>46122.659502314818</v>
      </c>
      <c r="HP27">
        <v>1</v>
      </c>
      <c r="HX27" t="inlineStr" s="6">
        <f>HYPERLINK("https://metagenicsd365.crm6.dynamics.com/main.aspx?etn=meta_paymentterm&amp;pagetype=entityrecord&amp;id=31971c9d-38ba-eb11-8236-00224817f624","31971c9d-38ba-eb11-8236-00224817f624")</f>
        <v>31971c9d-38ba-eb11-8236-00224817f624</v>
      </c>
      <c r="HY27" t="inlineStr">
        <is>
          <t>Cash</t>
        </is>
      </c>
      <c r="IC27" t="inlineStr">
        <is>
          <t>VIC</t>
        </is>
      </c>
      <c r="ID27" t="inlineStr">
        <is>
          <t>65 LODDON DRIVE</t>
        </is>
      </c>
      <c r="IE27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27" t="inlineStr">
        <is>
          <t>Australia</t>
        </is>
      </c>
      <c r="IG27" t="inlineStr" s="6">
        <f>HYPERLINK("https://metagenicsd365.crm6.dynamics.com/main.aspx?etn=meta_postcode&amp;pagetype=entityrecord&amp;id=7b8b648c-b2a7-e911-a873-000d3ae10139","7b8b648c-b2a7-e911-a873-000d3ae10139")</f>
        <v>7b8b648c-b2a7-e911-a873-000d3ae10139</v>
      </c>
      <c r="IH27" t="inlineStr">
        <is>
          <t>3037</t>
        </is>
      </c>
      <c r="II27" t="inlineStr" s="6">
        <f>HYPERLINK("https://metagenicsd365.crm6.dynamics.com/main.aspx?etn=meta_suburb&amp;pagetype=entityrecord&amp;id=862d7913-b6a7-e911-a862-000d3ae10c61","862d7913-b6a7-e911-a862-000d3ae10c61")</f>
        <v>862d7913-b6a7-e911-a862-000d3ae10c61</v>
      </c>
      <c r="IJ27" t="inlineStr">
        <is>
          <t>TAYLORS HILL</t>
        </is>
      </c>
      <c r="IK27" t="inlineStr" s="6">
        <f>HYPERLINK("https://metagenicsd365.crm6.dynamics.com/main.aspx?etn=meta_postcode&amp;pagetype=entityrecord&amp;id=7b8b648c-b2a7-e911-a873-000d3ae10139","7b8b648c-b2a7-e911-a873-000d3ae10139")</f>
        <v>7b8b648c-b2a7-e911-a873-000d3ae10139</v>
      </c>
      <c r="IL27" t="inlineStr">
        <is>
          <t>3037</t>
        </is>
      </c>
      <c r="IM27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27" t="inlineStr">
        <is>
          <t># HWORLD</t>
        </is>
      </c>
      <c r="IO27" t="inlineStr" s="6">
        <f>HYPERLINK("https://metagenicsd365.crm6.dynamics.com/main.aspx?etn=meta_segment&amp;pagetype=entityrecord&amp;id=44e3a56e-8030-eb11-a813-000d3ae15585","44e3a56e-8030-eb11-a813-000d3ae15585")</f>
        <v>44e3a56e-8030-eb11-a813-000d3ae15585</v>
      </c>
      <c r="IP27" t="inlineStr">
        <is>
          <t>10 - New accounts opened</t>
        </is>
      </c>
      <c r="IQ27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27" t="inlineStr">
        <is>
          <t>APH0</t>
        </is>
      </c>
      <c r="IZ27">
        <v>951850001</v>
      </c>
      <c r="JA27" t="inlineStr">
        <is>
          <t>Location</t>
        </is>
      </c>
      <c r="JE27" t="b">
        <v>0</v>
      </c>
      <c r="JF27" t="inlineStr">
        <is>
          <t>No</t>
        </is>
      </c>
      <c r="JT27">
        <v>951850002</v>
      </c>
      <c r="JU27" t="inlineStr">
        <is>
          <t>PRM - Priority Shipping</t>
        </is>
      </c>
      <c r="JY27" t="inlineStr" s="6">
        <f>HYPERLINK("https://metagenicsd365.crm6.dynamics.com/main.aspx?etn=meta_suburb&amp;pagetype=entityrecord&amp;id=862d7913-b6a7-e911-a862-000d3ae10c61","862d7913-b6a7-e911-a862-000d3ae10c61")</f>
        <v>862d7913-b6a7-e911-a862-000d3ae10c61</v>
      </c>
      <c r="JZ27" t="inlineStr">
        <is>
          <t>TAYLORS HILL</t>
        </is>
      </c>
      <c r="KB27">
        <v>0.0000</v>
      </c>
      <c r="KC27">
        <v>0.0000</v>
      </c>
      <c r="KD27" s="3">
        <v>46122.659502314818</v>
      </c>
      <c r="KE27">
        <v>1</v>
      </c>
      <c r="KF27">
        <v>0.0000</v>
      </c>
      <c r="KG27">
        <v>0.0000</v>
      </c>
      <c r="KH27" s="3">
        <v>46122.659502314818</v>
      </c>
      <c r="KI27">
        <v>1</v>
      </c>
      <c r="KJ27">
        <v>0.0000</v>
      </c>
      <c r="KK27">
        <v>0.0000</v>
      </c>
      <c r="KL27" s="3">
        <v>46122.659502314818</v>
      </c>
      <c r="KM27">
        <v>1</v>
      </c>
      <c r="KN27" t="b">
        <v>0</v>
      </c>
      <c r="KO27" t="inlineStr">
        <is>
          <t>No</t>
        </is>
      </c>
      <c r="KP27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KQ27" t="inlineStr">
        <is>
          <t>SVC_D365_CE #</t>
        </is>
      </c>
      <c r="KT27" s="3">
        <v>46122.209560185183</v>
      </c>
      <c r="LA27" t="b">
        <v>0</v>
      </c>
      <c r="LB27" t="inlineStr">
        <is>
          <t>No</t>
        </is>
      </c>
      <c r="LH27" t="inlineStr">
        <is>
          <t>IDRIS CHKAIK</t>
        </is>
      </c>
      <c r="LO27">
        <v>0</v>
      </c>
      <c r="LP27" s="3">
        <v>46122.659502314818</v>
      </c>
      <c r="LQ27">
        <v>1</v>
      </c>
      <c r="LR27">
        <v>0.0000</v>
      </c>
      <c r="LS27">
        <v>0.0000</v>
      </c>
      <c r="LT27" s="3">
        <v>46122.659502314818</v>
      </c>
      <c r="LU27">
        <v>1</v>
      </c>
      <c r="LY27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27" t="inlineStr">
        <is>
          <t>Australia</t>
        </is>
      </c>
      <c r="MA27" t="inlineStr">
        <is>
          <t>team</t>
        </is>
      </c>
      <c r="MD27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27" t="inlineStr">
        <is>
          <t>Australia</t>
        </is>
      </c>
      <c r="MF27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J27" t="inlineStr" s="6">
        <f>HYPERLINK("https://metagenicsd365.crm6.dynamics.com/main.aspx?etn=account&amp;pagetype=entityrecord&amp;id=fb88b4fa-91a7-e911-a873-000d3ae10cf1","fb88b4fa-91a7-e911-a873-000d3ae10cf1")</f>
        <v>fb88b4fa-91a7-e911-a873-000d3ae10cf1</v>
      </c>
      <c r="MK27" t="inlineStr">
        <is>
          <t>JULIDE TURKER NATUROPATH</t>
        </is>
      </c>
      <c r="ML27" t="b">
        <v>0</v>
      </c>
      <c r="MM27" t="inlineStr">
        <is>
          <t>No</t>
        </is>
      </c>
      <c r="MT27">
        <v>1</v>
      </c>
      <c r="MU27" t="inlineStr">
        <is>
          <t>Any</t>
        </is>
      </c>
      <c r="NJ27">
        <v>1</v>
      </c>
      <c r="NK27" t="inlineStr">
        <is>
          <t>Airborne</t>
        </is>
      </c>
      <c r="NR27">
        <v>0</v>
      </c>
      <c r="NS27" t="inlineStr">
        <is>
          <t>Active</t>
        </is>
      </c>
      <c r="NT27">
        <v>1</v>
      </c>
      <c r="NU27" t="inlineStr">
        <is>
          <t>Active</t>
        </is>
      </c>
      <c r="NY27" t="inlineStr">
        <is>
          <t>0484 529 839</t>
        </is>
      </c>
      <c r="NZ27" t="inlineStr">
        <is>
          <t>0407 522 582</t>
        </is>
      </c>
      <c r="OA27">
        <v>1</v>
      </c>
      <c r="OB27" t="inlineStr">
        <is>
          <t>Default Value</t>
        </is>
      </c>
      <c r="OG27">
        <v>0</v>
      </c>
      <c r="OH27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27" t="inlineStr">
        <is>
          <t>Australian Dollar</t>
        </is>
      </c>
      <c r="OL27" t="inlineStr">
        <is>
          <t>0x000000003EA9FB57</t>
        </is>
      </c>
    </row>
    <row r="28">
      <c r="C28">
        <v>1</v>
      </c>
      <c r="D28" t="inlineStr">
        <is>
          <t>Default Value</t>
        </is>
      </c>
      <c r="E28" t="inlineStr" s="6">
        <f>HYPERLINK("https://metagenicsd365.crm6.dynamics.com/main.aspx?etn=account&amp;pagetype=entityrecord&amp;id=3001bcad-4754-ef11-bfe3-000d3a793080","3001bcad-4754-ef11-bfe3-000d3a793080")</f>
        <v>3001bcad-4754-ef11-bfe3-000d3a793080</v>
      </c>
      <c r="F28" t="inlineStr">
        <is>
          <t>000001060421</t>
        </is>
      </c>
      <c r="G28">
        <v>1</v>
      </c>
      <c r="H28" t="inlineStr">
        <is>
          <t>Default Value</t>
        </is>
      </c>
      <c r="I28" t="inlineStr" s="6">
        <f>HYPERLINK("https://metagenicsd365.crm6.dynamics.com/main.aspx?etn=account&amp;pagetype=entityrecord&amp;id=b14131f5-10c3-431a-a746-10b93371c995","b14131f5-10c3-431a-a746-10b93371c995")</f>
        <v>b14131f5-10c3-431a-a746-10b93371c995</v>
      </c>
      <c r="L28" t="inlineStr">
        <is>
          <t>/meta_suburbs(04f43ed6-b4a7-e911-a873-000d3ae10cf1)</t>
        </is>
      </c>
      <c r="M28" t="inlineStr">
        <is>
          <t>4 DERBY STREET
/meta_suburbs(04f43ed6-b4a7-e911-a873-000d3ae10cf1), VIC</t>
        </is>
      </c>
      <c r="T28" t="inlineStr">
        <is>
          <t>4 DERBY STREET</t>
        </is>
      </c>
      <c r="AD28" t="inlineStr">
        <is>
          <t>VIC</t>
        </is>
      </c>
      <c r="AE28" t="inlineStr">
        <is>
          <t>0477 173 112</t>
        </is>
      </c>
      <c r="AJ28" t="inlineStr" s="6">
        <f>HYPERLINK("https://metagenicsd365.crm6.dynamics.com/main.aspx?etn=account&amp;pagetype=entityrecord&amp;id=8a2983f5-1f7c-405d-a598-f04f40749b71","8a2983f5-1f7c-405d-a598-f04f40749b71")</f>
        <v>8a2983f5-1f7c-405d-a598-f04f40749b71</v>
      </c>
      <c r="AK28">
        <v>1</v>
      </c>
      <c r="AL28" t="inlineStr">
        <is>
          <t>Default Value</t>
        </is>
      </c>
      <c r="AM28" t="inlineStr">
        <is>
          <t>/meta_suburbs(04f43ed6-b4a7-e911-a873-000d3ae10cf1)</t>
        </is>
      </c>
      <c r="AN28" t="inlineStr">
        <is>
          <t>4 DERBY STREET
/meta_suburbs(04f43ed6-b4a7-e911-a873-000d3ae10cf1), VIC</t>
        </is>
      </c>
      <c r="AR28">
        <v>1</v>
      </c>
      <c r="AS28" t="inlineStr">
        <is>
          <t>Default Value</t>
        </is>
      </c>
      <c r="AU28" t="inlineStr">
        <is>
          <t>4 DERBY STREET</t>
        </is>
      </c>
      <c r="BC28">
        <v>1</v>
      </c>
      <c r="BD28" t="inlineStr">
        <is>
          <t>Default Value</t>
        </is>
      </c>
      <c r="BE28" t="inlineStr">
        <is>
          <t>VIC</t>
        </is>
      </c>
      <c r="BU28">
        <v>1</v>
      </c>
      <c r="BV28" t="inlineStr">
        <is>
          <t>Default Value</t>
        </is>
      </c>
      <c r="BY28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28" t="inlineStr">
        <is>
          <t>SVC_D365_CE #</t>
        </is>
      </c>
      <c r="CC28" s="3">
        <v>45510.958761574075</v>
      </c>
      <c r="CH28" t="b">
        <v>0</v>
      </c>
      <c r="CI28" t="inlineStr">
        <is>
          <t>No</t>
        </is>
      </c>
      <c r="CJ28">
        <v>1</v>
      </c>
      <c r="CK28" t="inlineStr">
        <is>
          <t>Default Value</t>
        </is>
      </c>
      <c r="CN28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28" t="inlineStr">
        <is>
          <t>All Products Australia</t>
        </is>
      </c>
      <c r="CQ28" t="b">
        <v>0</v>
      </c>
      <c r="CR28" t="inlineStr">
        <is>
          <t>Allow</t>
        </is>
      </c>
      <c r="CS28" t="b">
        <v>0</v>
      </c>
      <c r="CT28" t="inlineStr">
        <is>
          <t>No</t>
        </is>
      </c>
      <c r="CU28" t="b">
        <v>0</v>
      </c>
      <c r="CV28" t="inlineStr">
        <is>
          <t>Allow</t>
        </is>
      </c>
      <c r="CW28" t="b">
        <v>0</v>
      </c>
      <c r="CX28" t="inlineStr">
        <is>
          <t>Allow</t>
        </is>
      </c>
      <c r="CY28" t="b">
        <v>0</v>
      </c>
      <c r="CZ28" t="inlineStr">
        <is>
          <t>Allow</t>
        </is>
      </c>
      <c r="DA28" t="b">
        <v>0</v>
      </c>
      <c r="DB28" t="inlineStr">
        <is>
          <t>Allow</t>
        </is>
      </c>
      <c r="DC28" t="b">
        <v>0</v>
      </c>
      <c r="DD28" t="inlineStr">
        <is>
          <t>Send</t>
        </is>
      </c>
      <c r="DE28" t="inlineStr">
        <is>
          <t>royadab@hotmail.com</t>
        </is>
      </c>
      <c r="DF28" t="inlineStr">
        <is>
          <t>royadab@hotmail.com</t>
        </is>
      </c>
      <c r="DO28">
        <v>1.0000000000</v>
      </c>
      <c r="DQ28" t="b">
        <v>1</v>
      </c>
      <c r="DR28" t="inlineStr">
        <is>
          <t>Allow</t>
        </is>
      </c>
      <c r="EA28" t="b">
        <v>0</v>
      </c>
      <c r="EB28" t="inlineStr">
        <is>
          <t>No</t>
        </is>
      </c>
      <c r="EE28" t="b">
        <v>0</v>
      </c>
      <c r="EF28" t="inlineStr">
        <is>
          <t>No</t>
        </is>
      </c>
      <c r="EG28" t="inlineStr">
        <is>
          <t>No</t>
        </is>
      </c>
      <c r="EJ28" t="inlineStr">
        <is>
          <t>951850001</t>
        </is>
      </c>
      <c r="EK28" t="inlineStr">
        <is>
          <t>Practitioner</t>
        </is>
      </c>
      <c r="EL28" s="3">
        <v>45510.949305555558</v>
      </c>
      <c r="EM28" s="3">
        <v>93138.99998842593</v>
      </c>
      <c r="EN28" t="inlineStr">
        <is>
          <t>PRAC</t>
        </is>
      </c>
      <c r="EO28" t="b">
        <v>0</v>
      </c>
      <c r="EP28" t="inlineStr">
        <is>
          <t>No</t>
        </is>
      </c>
      <c r="EQ28" t="inlineStr">
        <is>
          <t>No</t>
        </is>
      </c>
      <c r="EU28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28" t="inlineStr">
        <is>
          <t>Australia</t>
        </is>
      </c>
      <c r="EW28">
        <v>951850003</v>
      </c>
      <c r="EX28" t="inlineStr">
        <is>
          <t>PRA01</t>
        </is>
      </c>
      <c r="EY28" t="inlineStr" s="6">
        <f>HYPERLINK("https://metagenicsd365.crm6.dynamics.com/main.aspx?etn=meta_postcode&amp;pagetype=entityrecord&amp;id=6c84236b-b2a7-e911-a862-000d3ae10c61","6c84236b-b2a7-e911-a862-000d3ae10c61")</f>
        <v>6c84236b-b2a7-e911-a862-000d3ae10c61</v>
      </c>
      <c r="EZ28" t="inlineStr">
        <is>
          <t>3124</t>
        </is>
      </c>
      <c r="FA28" t="inlineStr" s="6">
        <f>HYPERLINK("https://metagenicsd365.crm6.dynamics.com/main.aspx?etn=meta_suburb&amp;pagetype=entityrecord&amp;id=04f43ed6-b4a7-e911-a873-000d3ae10cf1","04f43ed6-b4a7-e911-a873-000d3ae10cf1")</f>
        <v>04f43ed6-b4a7-e911-a873-000d3ae10cf1</v>
      </c>
      <c r="FB28" t="inlineStr">
        <is>
          <t>CAMBERWELL</t>
        </is>
      </c>
      <c r="FC28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28" t="inlineStr">
        <is>
          <t>Australia</t>
        </is>
      </c>
      <c r="FE28" t="inlineStr">
        <is>
          <t>0000000000001060421</t>
        </is>
      </c>
      <c r="FM28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28" t="inlineStr">
        <is>
          <t>Australia</t>
        </is>
      </c>
      <c r="FO28" t="b">
        <v>1</v>
      </c>
      <c r="FP28" t="inlineStr">
        <is>
          <t>Yes</t>
        </is>
      </c>
      <c r="FQ28" t="inlineStr">
        <is>
          <t>PRACS</t>
        </is>
      </c>
      <c r="FW28" t="b">
        <v>0</v>
      </c>
      <c r="FX28" t="inlineStr">
        <is>
          <t>No</t>
        </is>
      </c>
      <c r="GA28" t="inlineStr">
        <is>
          <t>ABL10129543</t>
        </is>
      </c>
      <c r="GD28">
        <v>951850000</v>
      </c>
      <c r="GE28" t="inlineStr">
        <is>
          <t>Pending</t>
        </is>
      </c>
      <c r="GF28">
        <v>0.0000</v>
      </c>
      <c r="GG28">
        <v>0.0000</v>
      </c>
      <c r="GH28" s="3">
        <v>46122.659502314818</v>
      </c>
      <c r="GI28">
        <v>1</v>
      </c>
      <c r="GJ28" t="b">
        <v>1</v>
      </c>
      <c r="GK28" t="inlineStr">
        <is>
          <t>Yes</t>
        </is>
      </c>
      <c r="GO28" s="3">
        <v>46122.659502314818</v>
      </c>
      <c r="GR28" s="3">
        <v>46122.659502314818</v>
      </c>
      <c r="GU28" s="3">
        <v>46122.659502314818</v>
      </c>
      <c r="GY28" t="inlineStr">
        <is>
          <t>000001060421</t>
        </is>
      </c>
      <c r="HB28" t="inlineStr">
        <is>
          <t>DR ROYA DABESTANI</t>
        </is>
      </c>
      <c r="HI28">
        <v>0.0000</v>
      </c>
      <c r="HK28" s="3">
        <v>46122.659502314818</v>
      </c>
      <c r="HL28">
        <v>1</v>
      </c>
      <c r="HM28">
        <v>0.0000</v>
      </c>
      <c r="HO28" s="3">
        <v>46122.659502314818</v>
      </c>
      <c r="HP28">
        <v>1</v>
      </c>
      <c r="HX28" t="inlineStr" s="6">
        <f>HYPERLINK("https://metagenicsd365.crm6.dynamics.com/main.aspx?etn=meta_paymentterm&amp;pagetype=entityrecord&amp;id=31971c9d-38ba-eb11-8236-00224817f624","31971c9d-38ba-eb11-8236-00224817f624")</f>
        <v>31971c9d-38ba-eb11-8236-00224817f624</v>
      </c>
      <c r="HY28" t="inlineStr">
        <is>
          <t>Cash</t>
        </is>
      </c>
      <c r="IC28" t="inlineStr">
        <is>
          <t>VIC</t>
        </is>
      </c>
      <c r="ID28" t="inlineStr">
        <is>
          <t>4 DERBY STREET</t>
        </is>
      </c>
      <c r="IE28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28" t="inlineStr">
        <is>
          <t>Australia</t>
        </is>
      </c>
      <c r="IG28" t="inlineStr" s="6">
        <f>HYPERLINK("https://metagenicsd365.crm6.dynamics.com/main.aspx?etn=meta_postcode&amp;pagetype=entityrecord&amp;id=6c84236b-b2a7-e911-a862-000d3ae10c61","6c84236b-b2a7-e911-a862-000d3ae10c61")</f>
        <v>6c84236b-b2a7-e911-a862-000d3ae10c61</v>
      </c>
      <c r="IH28" t="inlineStr">
        <is>
          <t>3124</t>
        </is>
      </c>
      <c r="II28" t="inlineStr" s="6">
        <f>HYPERLINK("https://metagenicsd365.crm6.dynamics.com/main.aspx?etn=meta_suburb&amp;pagetype=entityrecord&amp;id=04f43ed6-b4a7-e911-a873-000d3ae10cf1","04f43ed6-b4a7-e911-a873-000d3ae10cf1")</f>
        <v>04f43ed6-b4a7-e911-a873-000d3ae10cf1</v>
      </c>
      <c r="IJ28" t="inlineStr">
        <is>
          <t>CAMBERWELL</t>
        </is>
      </c>
      <c r="IK28" t="inlineStr" s="6">
        <f>HYPERLINK("https://metagenicsd365.crm6.dynamics.com/main.aspx?etn=meta_postcode&amp;pagetype=entityrecord&amp;id=6c84236b-b2a7-e911-a862-000d3ae10c61","6c84236b-b2a7-e911-a862-000d3ae10c61")</f>
        <v>6c84236b-b2a7-e911-a862-000d3ae10c61</v>
      </c>
      <c r="IL28" t="inlineStr">
        <is>
          <t>3124</t>
        </is>
      </c>
      <c r="IM28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28" t="inlineStr">
        <is>
          <t># HWORLD</t>
        </is>
      </c>
      <c r="IO28" t="inlineStr" s="6">
        <f>HYPERLINK("https://metagenicsd365.crm6.dynamics.com/main.aspx?etn=meta_segment&amp;pagetype=entityrecord&amp;id=44e3a56e-8030-eb11-a813-000d3ae15585","44e3a56e-8030-eb11-a813-000d3ae15585")</f>
        <v>44e3a56e-8030-eb11-a813-000d3ae15585</v>
      </c>
      <c r="IP28" t="inlineStr">
        <is>
          <t>10 - New accounts opened</t>
        </is>
      </c>
      <c r="IQ28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28" t="inlineStr">
        <is>
          <t>APH0</t>
        </is>
      </c>
      <c r="IZ28">
        <v>951850000</v>
      </c>
      <c r="JA28" t="inlineStr">
        <is>
          <t>Billing</t>
        </is>
      </c>
      <c r="JE28" t="b">
        <v>0</v>
      </c>
      <c r="JF28" t="inlineStr">
        <is>
          <t>No</t>
        </is>
      </c>
      <c r="JT28">
        <v>951850001</v>
      </c>
      <c r="JU28" t="inlineStr">
        <is>
          <t>EXP - Standard Shipping</t>
        </is>
      </c>
      <c r="JY28" t="inlineStr" s="6">
        <f>HYPERLINK("https://metagenicsd365.crm6.dynamics.com/main.aspx?etn=meta_suburb&amp;pagetype=entityrecord&amp;id=04f43ed6-b4a7-e911-a873-000d3ae10cf1","04f43ed6-b4a7-e911-a873-000d3ae10cf1")</f>
        <v>04f43ed6-b4a7-e911-a873-000d3ae10cf1</v>
      </c>
      <c r="JZ28" t="inlineStr">
        <is>
          <t>CAMBERWELL</t>
        </is>
      </c>
      <c r="KB28">
        <v>0.0000</v>
      </c>
      <c r="KD28" s="3">
        <v>46122.659502314818</v>
      </c>
      <c r="KE28">
        <v>1</v>
      </c>
      <c r="KF28">
        <v>0.0000</v>
      </c>
      <c r="KH28" s="3">
        <v>46122.659502314818</v>
      </c>
      <c r="KI28">
        <v>1</v>
      </c>
      <c r="KJ28">
        <v>0.0000</v>
      </c>
      <c r="KL28" s="3">
        <v>46122.659502314818</v>
      </c>
      <c r="KM28">
        <v>1</v>
      </c>
      <c r="KN28" t="b">
        <v>0</v>
      </c>
      <c r="KO28" t="inlineStr">
        <is>
          <t>No</t>
        </is>
      </c>
      <c r="KP28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28" t="inlineStr">
        <is>
          <t>Sriganesh Subramanian</t>
        </is>
      </c>
      <c r="KT28" s="3">
        <v>46086.421967592592</v>
      </c>
      <c r="LA28" t="b">
        <v>0</v>
      </c>
      <c r="LB28" t="inlineStr">
        <is>
          <t>No</t>
        </is>
      </c>
      <c r="LH28" t="inlineStr">
        <is>
          <t>DR ROYA DABESTANI</t>
        </is>
      </c>
      <c r="LO28">
        <v>0</v>
      </c>
      <c r="LP28" s="3">
        <v>46122.659502314818</v>
      </c>
      <c r="LQ28">
        <v>1</v>
      </c>
      <c r="LR28">
        <v>0.0000</v>
      </c>
      <c r="LS28">
        <v>0.0000</v>
      </c>
      <c r="LT28" s="3">
        <v>46122.659502314818</v>
      </c>
      <c r="LU28">
        <v>1</v>
      </c>
      <c r="LY28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28" t="inlineStr">
        <is>
          <t>Australia</t>
        </is>
      </c>
      <c r="MA28" t="inlineStr">
        <is>
          <t>team</t>
        </is>
      </c>
      <c r="MD28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28" t="inlineStr">
        <is>
          <t>Australia</t>
        </is>
      </c>
      <c r="MF28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L28" t="b">
        <v>0</v>
      </c>
      <c r="MM28" t="inlineStr">
        <is>
          <t>No</t>
        </is>
      </c>
      <c r="MT28">
        <v>1</v>
      </c>
      <c r="MU28" t="inlineStr">
        <is>
          <t>Any</t>
        </is>
      </c>
      <c r="NB28" t="inlineStr" s="6">
        <f>HYPERLINK("https://metagenicsd365.crm6.dynamics.com/main.aspx?etn=contact&amp;pagetype=entityrecord&amp;id=6e7b94af-4754-ef11-bfe3-000d3ae154f6","6e7b94af-4754-ef11-bfe3-000d3ae154f6")</f>
        <v>6e7b94af-4754-ef11-bfe3-000d3ae154f6</v>
      </c>
      <c r="NC28" t="inlineStr">
        <is>
          <t>DR</t>
        </is>
      </c>
      <c r="NJ28">
        <v>1</v>
      </c>
      <c r="NK28" t="inlineStr">
        <is>
          <t>Airborne</t>
        </is>
      </c>
      <c r="NR28">
        <v>0</v>
      </c>
      <c r="NS28" t="inlineStr">
        <is>
          <t>Active</t>
        </is>
      </c>
      <c r="NT28">
        <v>1</v>
      </c>
      <c r="NU28" t="inlineStr">
        <is>
          <t>Active</t>
        </is>
      </c>
      <c r="NX28" t="inlineStr">
        <is>
          <t>0477 173 112</t>
        </is>
      </c>
      <c r="NY28" t="inlineStr">
        <is>
          <t>0477 173 112</t>
        </is>
      </c>
      <c r="OA28">
        <v>1</v>
      </c>
      <c r="OB28" t="inlineStr">
        <is>
          <t>Default Value</t>
        </is>
      </c>
      <c r="OG28">
        <v>0</v>
      </c>
      <c r="OH28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28" t="inlineStr">
        <is>
          <t>Australian Dollar</t>
        </is>
      </c>
      <c r="OL28" t="inlineStr">
        <is>
          <t>0x000000003D8300DF</t>
        </is>
      </c>
    </row>
    <row r="29">
      <c r="C29">
        <v>1</v>
      </c>
      <c r="D29" t="inlineStr">
        <is>
          <t>Default Value</t>
        </is>
      </c>
      <c r="E29" t="inlineStr" s="6">
        <f>HYPERLINK("https://metagenicsd365.crm6.dynamics.com/main.aspx?etn=account&amp;pagetype=entityrecord&amp;id=7130367a-6f54-ef11-bfe3-000d3a793080","7130367a-6f54-ef11-bfe3-000d3a793080")</f>
        <v>7130367a-6f54-ef11-bfe3-000d3a793080</v>
      </c>
      <c r="F29" t="inlineStr">
        <is>
          <t>000001060436</t>
        </is>
      </c>
      <c r="G29">
        <v>1</v>
      </c>
      <c r="H29" t="inlineStr">
        <is>
          <t>Default Value</t>
        </is>
      </c>
      <c r="I29" t="inlineStr" s="6">
        <f>HYPERLINK("https://metagenicsd365.crm6.dynamics.com/main.aspx?etn=account&amp;pagetype=entityrecord&amp;id=28ea354a-4991-46c6-9149-21c65ef286de","28ea354a-4991-46c6-9149-21c65ef286de")</f>
        <v>28ea354a-4991-46c6-9149-21c65ef286de</v>
      </c>
      <c r="L29" t="inlineStr">
        <is>
          <t>/meta_suburbs(58ee3268-b3a7-e911-a875-000d3ae104e7)</t>
        </is>
      </c>
      <c r="M29" t="inlineStr">
        <is>
          <t>141 SYLVAN ROAD
/meta_suburbs(58ee3268-b3a7-e911-a875-000d3ae104e7), QLD</t>
        </is>
      </c>
      <c r="T29" t="inlineStr">
        <is>
          <t>141 SYLVAN ROAD</t>
        </is>
      </c>
      <c r="AD29" t="inlineStr">
        <is>
          <t>QLD</t>
        </is>
      </c>
      <c r="AE29" t="inlineStr">
        <is>
          <t>07 3350 5418</t>
        </is>
      </c>
      <c r="AJ29" t="inlineStr" s="6">
        <f>HYPERLINK("https://metagenicsd365.crm6.dynamics.com/main.aspx?etn=account&amp;pagetype=entityrecord&amp;id=ccea5d98-c2dd-4824-8a63-62cd4d25a42e","ccea5d98-c2dd-4824-8a63-62cd4d25a42e")</f>
        <v>ccea5d98-c2dd-4824-8a63-62cd4d25a42e</v>
      </c>
      <c r="AK29">
        <v>1</v>
      </c>
      <c r="AL29" t="inlineStr">
        <is>
          <t>Default Value</t>
        </is>
      </c>
      <c r="AM29" t="inlineStr">
        <is>
          <t>/meta_suburbs(58ee3268-b3a7-e911-a875-000d3ae104e7)</t>
        </is>
      </c>
      <c r="AN29" t="inlineStr">
        <is>
          <t>141 SYLVAN ROAD
/meta_suburbs(58ee3268-b3a7-e911-a875-000d3ae104e7), QLD</t>
        </is>
      </c>
      <c r="AR29">
        <v>1</v>
      </c>
      <c r="AS29" t="inlineStr">
        <is>
          <t>Default Value</t>
        </is>
      </c>
      <c r="AU29" t="inlineStr">
        <is>
          <t>141 SYLVAN ROAD</t>
        </is>
      </c>
      <c r="BC29">
        <v>1</v>
      </c>
      <c r="BD29" t="inlineStr">
        <is>
          <t>Default Value</t>
        </is>
      </c>
      <c r="BE29" t="inlineStr">
        <is>
          <t>QLD</t>
        </is>
      </c>
      <c r="BU29">
        <v>1</v>
      </c>
      <c r="BV29" t="inlineStr">
        <is>
          <t>Default Value</t>
        </is>
      </c>
      <c r="BY29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29" t="inlineStr">
        <is>
          <t>SVC_D365_CE #</t>
        </is>
      </c>
      <c r="CC29" s="3">
        <v>45511.1565625</v>
      </c>
      <c r="CH29" t="b">
        <v>0</v>
      </c>
      <c r="CI29" t="inlineStr">
        <is>
          <t>No</t>
        </is>
      </c>
      <c r="CJ29">
        <v>1</v>
      </c>
      <c r="CK29" t="inlineStr">
        <is>
          <t>Default Value</t>
        </is>
      </c>
      <c r="CN29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29" t="inlineStr">
        <is>
          <t>All Products Australia</t>
        </is>
      </c>
      <c r="CQ29" t="b">
        <v>1</v>
      </c>
      <c r="CR29" t="inlineStr">
        <is>
          <t>Do Not Allow</t>
        </is>
      </c>
      <c r="CS29" t="b">
        <v>0</v>
      </c>
      <c r="CT29" t="inlineStr">
        <is>
          <t>No</t>
        </is>
      </c>
      <c r="CU29" t="b">
        <v>0</v>
      </c>
      <c r="CV29" t="inlineStr">
        <is>
          <t>Allow</t>
        </is>
      </c>
      <c r="CW29" t="b">
        <v>0</v>
      </c>
      <c r="CX29" t="inlineStr">
        <is>
          <t>Allow</t>
        </is>
      </c>
      <c r="CY29" t="b">
        <v>0</v>
      </c>
      <c r="CZ29" t="inlineStr">
        <is>
          <t>Allow</t>
        </is>
      </c>
      <c r="DA29" t="b">
        <v>0</v>
      </c>
      <c r="DB29" t="inlineStr">
        <is>
          <t>Allow</t>
        </is>
      </c>
      <c r="DC29" t="b">
        <v>0</v>
      </c>
      <c r="DD29" t="inlineStr">
        <is>
          <t>Send</t>
        </is>
      </c>
      <c r="DE29" t="inlineStr">
        <is>
          <t>jake@elitehp.com.au</t>
        </is>
      </c>
      <c r="DF29" t="inlineStr">
        <is>
          <t>jake@elitehp.com.au</t>
        </is>
      </c>
      <c r="DO29">
        <v>1.0000000000</v>
      </c>
      <c r="DQ29" t="b">
        <v>1</v>
      </c>
      <c r="DR29" t="inlineStr">
        <is>
          <t>Allow</t>
        </is>
      </c>
      <c r="EA29" t="b">
        <v>0</v>
      </c>
      <c r="EB29" t="inlineStr">
        <is>
          <t>No</t>
        </is>
      </c>
      <c r="EE29" t="b">
        <v>0</v>
      </c>
      <c r="EF29" t="inlineStr">
        <is>
          <t>No</t>
        </is>
      </c>
      <c r="EG29" t="inlineStr">
        <is>
          <t>No</t>
        </is>
      </c>
      <c r="EJ29" t="inlineStr">
        <is>
          <t>951850001</t>
        </is>
      </c>
      <c r="EK29" t="inlineStr">
        <is>
          <t>Practitioner</t>
        </is>
      </c>
      <c r="EL29" s="3">
        <v>45511.148032407407</v>
      </c>
      <c r="EM29" s="3">
        <v>93138.99998842593</v>
      </c>
      <c r="EN29" t="inlineStr">
        <is>
          <t>PRAC</t>
        </is>
      </c>
      <c r="EO29" t="b">
        <v>0</v>
      </c>
      <c r="EP29" t="inlineStr">
        <is>
          <t>No</t>
        </is>
      </c>
      <c r="EQ29" t="inlineStr">
        <is>
          <t>No</t>
        </is>
      </c>
      <c r="EU29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29" t="inlineStr">
        <is>
          <t>Australia</t>
        </is>
      </c>
      <c r="EW29">
        <v>951850003</v>
      </c>
      <c r="EX29" t="inlineStr">
        <is>
          <t>PRA01</t>
        </is>
      </c>
      <c r="EY29" t="inlineStr" s="6">
        <f>HYPERLINK("https://metagenicsd365.crm6.dynamics.com/main.aspx?etn=meta_postcode&amp;pagetype=entityrecord&amp;id=3470814c-b2a7-e911-a862-000d3ae10c61","3470814c-b2a7-e911-a862-000d3ae10c61")</f>
        <v>3470814c-b2a7-e911-a862-000d3ae10c61</v>
      </c>
      <c r="EZ29" t="inlineStr">
        <is>
          <t>4066</t>
        </is>
      </c>
      <c r="FA29" t="inlineStr" s="6">
        <f>HYPERLINK("https://metagenicsd365.crm6.dynamics.com/main.aspx?etn=meta_suburb&amp;pagetype=entityrecord&amp;id=58ee3268-b3a7-e911-a875-000d3ae104e7","58ee3268-b3a7-e911-a875-000d3ae104e7")</f>
        <v>58ee3268-b3a7-e911-a875-000d3ae104e7</v>
      </c>
      <c r="FB29" t="inlineStr">
        <is>
          <t>TOOWONG</t>
        </is>
      </c>
      <c r="FC29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29" t="inlineStr">
        <is>
          <t>Australia</t>
        </is>
      </c>
      <c r="FE29" t="inlineStr">
        <is>
          <t>0000000000001060436</t>
        </is>
      </c>
      <c r="FM29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29" t="inlineStr">
        <is>
          <t>Australia</t>
        </is>
      </c>
      <c r="FO29" t="b">
        <v>1</v>
      </c>
      <c r="FP29" t="inlineStr">
        <is>
          <t>Yes</t>
        </is>
      </c>
      <c r="FQ29" t="inlineStr">
        <is>
          <t>PRACS</t>
        </is>
      </c>
      <c r="FW29" t="b">
        <v>0</v>
      </c>
      <c r="FX29" t="inlineStr">
        <is>
          <t>No</t>
        </is>
      </c>
      <c r="GA29" t="inlineStr">
        <is>
          <t>ABL10131063</t>
        </is>
      </c>
      <c r="GD29">
        <v>951850000</v>
      </c>
      <c r="GE29" t="inlineStr">
        <is>
          <t>Pending</t>
        </is>
      </c>
      <c r="GF29">
        <v>0.0000</v>
      </c>
      <c r="GG29">
        <v>0.0000</v>
      </c>
      <c r="GH29" s="3">
        <v>46122.659502314818</v>
      </c>
      <c r="GI29">
        <v>1</v>
      </c>
      <c r="GJ29" t="b">
        <v>1</v>
      </c>
      <c r="GK29" t="inlineStr">
        <is>
          <t>Yes</t>
        </is>
      </c>
      <c r="GO29" s="3">
        <v>46122.659502314818</v>
      </c>
      <c r="GQ29" s="3">
        <v>45808.092303240737</v>
      </c>
      <c r="GR29" s="3">
        <v>46122.659502314818</v>
      </c>
      <c r="GS29">
        <v>1</v>
      </c>
      <c r="GU29" s="3">
        <v>46122.659502314818</v>
      </c>
      <c r="GY29" t="inlineStr">
        <is>
          <t>000001060436</t>
        </is>
      </c>
      <c r="HB29" t="inlineStr">
        <is>
          <t>EHP GROUP WEST PTY LTD - JAKE SMITH</t>
        </is>
      </c>
      <c r="HI29">
        <v>0.0000</v>
      </c>
      <c r="HK29" s="3">
        <v>46122.659502314818</v>
      </c>
      <c r="HL29">
        <v>1</v>
      </c>
      <c r="HM29">
        <v>0.0000</v>
      </c>
      <c r="HN29">
        <v>0.0000</v>
      </c>
      <c r="HO29" s="3">
        <v>46122.659502314818</v>
      </c>
      <c r="HP29">
        <v>1</v>
      </c>
      <c r="HX29" t="inlineStr" s="6">
        <f>HYPERLINK("https://metagenicsd365.crm6.dynamics.com/main.aspx?etn=meta_paymentterm&amp;pagetype=entityrecord&amp;id=31971c9d-38ba-eb11-8236-00224817f624","31971c9d-38ba-eb11-8236-00224817f624")</f>
        <v>31971c9d-38ba-eb11-8236-00224817f624</v>
      </c>
      <c r="HY29" t="inlineStr">
        <is>
          <t>Cash</t>
        </is>
      </c>
      <c r="IC29" t="inlineStr">
        <is>
          <t>QLD</t>
        </is>
      </c>
      <c r="ID29" t="inlineStr">
        <is>
          <t>141 SYLVAN ROAD</t>
        </is>
      </c>
      <c r="IE29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29" t="inlineStr">
        <is>
          <t>Australia</t>
        </is>
      </c>
      <c r="IG29" t="inlineStr" s="6">
        <f>HYPERLINK("https://metagenicsd365.crm6.dynamics.com/main.aspx?etn=meta_postcode&amp;pagetype=entityrecord&amp;id=3470814c-b2a7-e911-a862-000d3ae10c61","3470814c-b2a7-e911-a862-000d3ae10c61")</f>
        <v>3470814c-b2a7-e911-a862-000d3ae10c61</v>
      </c>
      <c r="IH29" t="inlineStr">
        <is>
          <t>4066</t>
        </is>
      </c>
      <c r="II29" t="inlineStr" s="6">
        <f>HYPERLINK("https://metagenicsd365.crm6.dynamics.com/main.aspx?etn=meta_suburb&amp;pagetype=entityrecord&amp;id=58ee3268-b3a7-e911-a875-000d3ae104e7","58ee3268-b3a7-e911-a875-000d3ae104e7")</f>
        <v>58ee3268-b3a7-e911-a875-000d3ae104e7</v>
      </c>
      <c r="IJ29" t="inlineStr">
        <is>
          <t>TOOWONG</t>
        </is>
      </c>
      <c r="IK29" t="inlineStr" s="6">
        <f>HYPERLINK("https://metagenicsd365.crm6.dynamics.com/main.aspx?etn=meta_postcode&amp;pagetype=entityrecord&amp;id=3470814c-b2a7-e911-a862-000d3ae10c61","3470814c-b2a7-e911-a862-000d3ae10c61")</f>
        <v>3470814c-b2a7-e911-a862-000d3ae10c61</v>
      </c>
      <c r="IL29" t="inlineStr">
        <is>
          <t>4066</t>
        </is>
      </c>
      <c r="IM29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29" t="inlineStr">
        <is>
          <t># HWORLD</t>
        </is>
      </c>
      <c r="IO29" t="inlineStr" s="6">
        <f>HYPERLINK("https://metagenicsd365.crm6.dynamics.com/main.aspx?etn=meta_segment&amp;pagetype=entityrecord&amp;id=44e3a56e-8030-eb11-a813-000d3ae15585","44e3a56e-8030-eb11-a813-000d3ae15585")</f>
        <v>44e3a56e-8030-eb11-a813-000d3ae15585</v>
      </c>
      <c r="IP29" t="inlineStr">
        <is>
          <t>10 - New accounts opened</t>
        </is>
      </c>
      <c r="IQ29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29" t="inlineStr">
        <is>
          <t>APH0</t>
        </is>
      </c>
      <c r="IZ29">
        <v>951850000</v>
      </c>
      <c r="JA29" t="inlineStr">
        <is>
          <t>Billing</t>
        </is>
      </c>
      <c r="JE29" t="b">
        <v>0</v>
      </c>
      <c r="JF29" t="inlineStr">
        <is>
          <t>No</t>
        </is>
      </c>
      <c r="JT29">
        <v>951850001</v>
      </c>
      <c r="JU29" t="inlineStr">
        <is>
          <t>EXP - Standard Shipping</t>
        </is>
      </c>
      <c r="JY29" t="inlineStr" s="6">
        <f>HYPERLINK("https://metagenicsd365.crm6.dynamics.com/main.aspx?etn=meta_suburb&amp;pagetype=entityrecord&amp;id=58ee3268-b3a7-e911-a875-000d3ae104e7","58ee3268-b3a7-e911-a875-000d3ae104e7")</f>
        <v>58ee3268-b3a7-e911-a875-000d3ae104e7</v>
      </c>
      <c r="JZ29" t="inlineStr">
        <is>
          <t>TOOWONG</t>
        </is>
      </c>
      <c r="KB29">
        <v>0.0000</v>
      </c>
      <c r="KD29" s="3">
        <v>46122.659502314818</v>
      </c>
      <c r="KE29">
        <v>1</v>
      </c>
      <c r="KF29">
        <v>0.0000</v>
      </c>
      <c r="KG29">
        <v>0.0000</v>
      </c>
      <c r="KH29" s="3">
        <v>46122.659502314818</v>
      </c>
      <c r="KI29">
        <v>1</v>
      </c>
      <c r="KJ29">
        <v>0.0000</v>
      </c>
      <c r="KK29">
        <v>0.0000</v>
      </c>
      <c r="KL29" s="3">
        <v>46122.659502314818</v>
      </c>
      <c r="KM29">
        <v>1</v>
      </c>
      <c r="KN29" t="b">
        <v>0</v>
      </c>
      <c r="KO29" t="inlineStr">
        <is>
          <t>No</t>
        </is>
      </c>
      <c r="KP29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29" t="inlineStr">
        <is>
          <t>Sriganesh Subramanian</t>
        </is>
      </c>
      <c r="KT29" s="3">
        <v>46086.422013888892</v>
      </c>
      <c r="LA29" t="b">
        <v>0</v>
      </c>
      <c r="LB29" t="inlineStr">
        <is>
          <t>No</t>
        </is>
      </c>
      <c r="LH29" t="inlineStr">
        <is>
          <t>EHP GROUP WEST PTY LTD - JAKE SMITH</t>
        </is>
      </c>
      <c r="LO29">
        <v>0</v>
      </c>
      <c r="LP29" s="3">
        <v>46122.659502314818</v>
      </c>
      <c r="LQ29">
        <v>1</v>
      </c>
      <c r="LR29">
        <v>0.0000</v>
      </c>
      <c r="LS29">
        <v>0.0000</v>
      </c>
      <c r="LT29" s="3">
        <v>46122.659502314818</v>
      </c>
      <c r="LU29">
        <v>1</v>
      </c>
      <c r="LY29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29" t="inlineStr">
        <is>
          <t>Australia</t>
        </is>
      </c>
      <c r="MA29" t="inlineStr">
        <is>
          <t>team</t>
        </is>
      </c>
      <c r="MD29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29" t="inlineStr">
        <is>
          <t>Australia</t>
        </is>
      </c>
      <c r="MF29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L29" t="b">
        <v>0</v>
      </c>
      <c r="MM29" t="inlineStr">
        <is>
          <t>No</t>
        </is>
      </c>
      <c r="MT29">
        <v>1</v>
      </c>
      <c r="MU29" t="inlineStr">
        <is>
          <t>Any</t>
        </is>
      </c>
      <c r="NB29" t="inlineStr" s="6">
        <f>HYPERLINK("https://metagenicsd365.crm6.dynamics.com/main.aspx?etn=contact&amp;pagetype=entityrecord&amp;id=0eca0976-6f54-ef11-bfe3-000d3ae10122","0eca0976-6f54-ef11-bfe3-000d3ae10122")</f>
        <v>0eca0976-6f54-ef11-bfe3-000d3ae10122</v>
      </c>
      <c r="NC29" t="inlineStr">
        <is>
          <t>JAKE SMITH CHIROPRACTOR</t>
        </is>
      </c>
      <c r="NJ29">
        <v>1</v>
      </c>
      <c r="NK29" t="inlineStr">
        <is>
          <t>Airborne</t>
        </is>
      </c>
      <c r="NR29">
        <v>0</v>
      </c>
      <c r="NS29" t="inlineStr">
        <is>
          <t>Active</t>
        </is>
      </c>
      <c r="NT29">
        <v>1</v>
      </c>
      <c r="NU29" t="inlineStr">
        <is>
          <t>Active</t>
        </is>
      </c>
      <c r="NX29" t="inlineStr">
        <is>
          <t>07 3350 5418</t>
        </is>
      </c>
      <c r="NY29" t="inlineStr">
        <is>
          <t>07 3350 5418</t>
        </is>
      </c>
      <c r="OA29">
        <v>1</v>
      </c>
      <c r="OB29" t="inlineStr">
        <is>
          <t>Default Value</t>
        </is>
      </c>
      <c r="OG29">
        <v>0</v>
      </c>
      <c r="OH29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29" t="inlineStr">
        <is>
          <t>Australian Dollar</t>
        </is>
      </c>
      <c r="OL29" t="inlineStr">
        <is>
          <t>0x000000003D830174</t>
        </is>
      </c>
    </row>
    <row r="30">
      <c r="C30">
        <v>1</v>
      </c>
      <c r="D30" t="inlineStr">
        <is>
          <t>Default Value</t>
        </is>
      </c>
      <c r="E30" t="inlineStr" s="6">
        <f>HYPERLINK("https://metagenicsd365.crm6.dynamics.com/main.aspx?etn=account&amp;pagetype=entityrecord&amp;id=5ef90f2f-de55-ef11-bfe3-000d3a793080","5ef90f2f-de55-ef11-bfe3-000d3a793080")</f>
        <v>5ef90f2f-de55-ef11-bfe3-000d3a793080</v>
      </c>
      <c r="F30" t="inlineStr">
        <is>
          <t>000001060557</t>
        </is>
      </c>
      <c r="G30">
        <v>1</v>
      </c>
      <c r="H30" t="inlineStr">
        <is>
          <t>Default Value</t>
        </is>
      </c>
      <c r="I30" t="inlineStr" s="6">
        <f>HYPERLINK("https://metagenicsd365.crm6.dynamics.com/main.aspx?etn=account&amp;pagetype=entityrecord&amp;id=0665f4f7-9b57-466d-a3ff-582af3b610df","0665f4f7-9b57-466d-a3ff-582af3b610df")</f>
        <v>0665f4f7-9b57-466d-a3ff-582af3b610df</v>
      </c>
      <c r="L30" t="inlineStr">
        <is>
          <t>/meta_suburbs(8a0ff579-b6a7-e911-a86f-000d3ae10f1f)</t>
        </is>
      </c>
      <c r="M30" t="inlineStr">
        <is>
          <t>22 CHAMBERLAIN DRIVE
/meta_suburbs(8a0ff579-b6a7-e911-a86f-000d3ae10f1f), VIC</t>
        </is>
      </c>
      <c r="T30" t="inlineStr">
        <is>
          <t>22 CHAMBERLAIN DRIVE</t>
        </is>
      </c>
      <c r="AD30" t="inlineStr">
        <is>
          <t>VIC</t>
        </is>
      </c>
      <c r="AE30" t="inlineStr">
        <is>
          <t>0423 076 724</t>
        </is>
      </c>
      <c r="AJ30" t="inlineStr" s="6">
        <f>HYPERLINK("https://metagenicsd365.crm6.dynamics.com/main.aspx?etn=account&amp;pagetype=entityrecord&amp;id=88c31080-4390-4e0d-b192-e41446d2f62b","88c31080-4390-4e0d-b192-e41446d2f62b")</f>
        <v>88c31080-4390-4e0d-b192-e41446d2f62b</v>
      </c>
      <c r="AK30">
        <v>1</v>
      </c>
      <c r="AL30" t="inlineStr">
        <is>
          <t>Default Value</t>
        </is>
      </c>
      <c r="AM30" t="inlineStr">
        <is>
          <t>/meta_suburbs(8a0ff579-b6a7-e911-a86f-000d3ae10f1f)</t>
        </is>
      </c>
      <c r="AN30" t="inlineStr">
        <is>
          <t>22 CHAMBERLAIN DRIVE
/meta_suburbs(8a0ff579-b6a7-e911-a86f-000d3ae10f1f), VIC</t>
        </is>
      </c>
      <c r="AR30">
        <v>1</v>
      </c>
      <c r="AS30" t="inlineStr">
        <is>
          <t>Default Value</t>
        </is>
      </c>
      <c r="AU30" t="inlineStr">
        <is>
          <t>22 CHAMBERLAIN DRIVE</t>
        </is>
      </c>
      <c r="BC30">
        <v>1</v>
      </c>
      <c r="BD30" t="inlineStr">
        <is>
          <t>Default Value</t>
        </is>
      </c>
      <c r="BE30" t="inlineStr">
        <is>
          <t>VIC</t>
        </is>
      </c>
      <c r="BU30">
        <v>1</v>
      </c>
      <c r="BV30" t="inlineStr">
        <is>
          <t>Default Value</t>
        </is>
      </c>
      <c r="BY30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30" t="inlineStr">
        <is>
          <t>SVC_D365_CE #</t>
        </is>
      </c>
      <c r="CC30" s="3">
        <v>45512.979513888888</v>
      </c>
      <c r="CH30" t="b">
        <v>0</v>
      </c>
      <c r="CI30" t="inlineStr">
        <is>
          <t>No</t>
        </is>
      </c>
      <c r="CJ30">
        <v>1</v>
      </c>
      <c r="CK30" t="inlineStr">
        <is>
          <t>Default Value</t>
        </is>
      </c>
      <c r="CN30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30" t="inlineStr">
        <is>
          <t>All Products Australia</t>
        </is>
      </c>
      <c r="CQ30" t="b">
        <v>0</v>
      </c>
      <c r="CR30" t="inlineStr">
        <is>
          <t>Allow</t>
        </is>
      </c>
      <c r="CS30" t="b">
        <v>0</v>
      </c>
      <c r="CT30" t="inlineStr">
        <is>
          <t>No</t>
        </is>
      </c>
      <c r="CU30" t="b">
        <v>0</v>
      </c>
      <c r="CV30" t="inlineStr">
        <is>
          <t>Allow</t>
        </is>
      </c>
      <c r="CW30" t="b">
        <v>0</v>
      </c>
      <c r="CX30" t="inlineStr">
        <is>
          <t>Allow</t>
        </is>
      </c>
      <c r="CY30" t="b">
        <v>0</v>
      </c>
      <c r="CZ30" t="inlineStr">
        <is>
          <t>Allow</t>
        </is>
      </c>
      <c r="DA30" t="b">
        <v>0</v>
      </c>
      <c r="DB30" t="inlineStr">
        <is>
          <t>Allow</t>
        </is>
      </c>
      <c r="DC30" t="b">
        <v>0</v>
      </c>
      <c r="DD30" t="inlineStr">
        <is>
          <t>Send</t>
        </is>
      </c>
      <c r="DE30" t="inlineStr">
        <is>
          <t>sallytranosteo@gmail.com</t>
        </is>
      </c>
      <c r="DF30" t="inlineStr">
        <is>
          <t>sallytranosteo@gmail.com</t>
        </is>
      </c>
      <c r="DO30">
        <v>1.0000000000</v>
      </c>
      <c r="DQ30" t="b">
        <v>1</v>
      </c>
      <c r="DR30" t="inlineStr">
        <is>
          <t>Allow</t>
        </is>
      </c>
      <c r="EA30" t="b">
        <v>0</v>
      </c>
      <c r="EB30" t="inlineStr">
        <is>
          <t>No</t>
        </is>
      </c>
      <c r="EE30" t="b">
        <v>0</v>
      </c>
      <c r="EF30" t="inlineStr">
        <is>
          <t>No</t>
        </is>
      </c>
      <c r="EG30" t="inlineStr">
        <is>
          <t>No</t>
        </is>
      </c>
      <c r="EJ30" t="inlineStr">
        <is>
          <t>951850001</t>
        </is>
      </c>
      <c r="EK30" t="inlineStr">
        <is>
          <t>Practitioner</t>
        </is>
      </c>
      <c r="EL30" s="3">
        <v>45512.976793981485</v>
      </c>
      <c r="EM30" s="3">
        <v>93138.99998842593</v>
      </c>
      <c r="EN30" t="inlineStr">
        <is>
          <t>PRAC</t>
        </is>
      </c>
      <c r="EO30" t="b">
        <v>0</v>
      </c>
      <c r="EP30" t="inlineStr">
        <is>
          <t>No</t>
        </is>
      </c>
      <c r="EQ30" t="inlineStr">
        <is>
          <t>No</t>
        </is>
      </c>
      <c r="EU30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30" t="inlineStr">
        <is>
          <t>Australia</t>
        </is>
      </c>
      <c r="EW30">
        <v>951850003</v>
      </c>
      <c r="EX30" t="inlineStr">
        <is>
          <t>PRA01</t>
        </is>
      </c>
      <c r="EY30" t="inlineStr" s="6">
        <f>HYPERLINK("https://metagenicsd365.crm6.dynamics.com/main.aspx?etn=meta_postcode&amp;pagetype=entityrecord&amp;id=0f34c806-b2a7-e911-a875-000d3ae104e7","0f34c806-b2a7-e911-a875-000d3ae104e7")</f>
        <v>0f34c806-b2a7-e911-a875-000d3ae104e7</v>
      </c>
      <c r="EZ30" t="inlineStr">
        <is>
          <t>3137</t>
        </is>
      </c>
      <c r="FA30" t="inlineStr" s="6">
        <f>HYPERLINK("https://metagenicsd365.crm6.dynamics.com/main.aspx?etn=meta_suburb&amp;pagetype=entityrecord&amp;id=8a0ff579-b6a7-e911-a86f-000d3ae10f1f","8a0ff579-b6a7-e911-a86f-000d3ae10f1f")</f>
        <v>8a0ff579-b6a7-e911-a86f-000d3ae10f1f</v>
      </c>
      <c r="FB30" t="inlineStr">
        <is>
          <t>KILSYTH SOUTH</t>
        </is>
      </c>
      <c r="FC30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30" t="inlineStr">
        <is>
          <t>Australia</t>
        </is>
      </c>
      <c r="FE30" t="inlineStr">
        <is>
          <t>0000000000001060557</t>
        </is>
      </c>
      <c r="FM30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30" t="inlineStr">
        <is>
          <t>Australia</t>
        </is>
      </c>
      <c r="FO30" t="b">
        <v>1</v>
      </c>
      <c r="FP30" t="inlineStr">
        <is>
          <t>Yes</t>
        </is>
      </c>
      <c r="FQ30" t="inlineStr">
        <is>
          <t>PRACS</t>
        </is>
      </c>
      <c r="FW30" t="b">
        <v>0</v>
      </c>
      <c r="FX30" t="inlineStr">
        <is>
          <t>No</t>
        </is>
      </c>
      <c r="GA30" t="inlineStr">
        <is>
          <t>ABL10146797</t>
        </is>
      </c>
      <c r="GD30">
        <v>951850000</v>
      </c>
      <c r="GE30" t="inlineStr">
        <is>
          <t>Pending</t>
        </is>
      </c>
      <c r="GF30">
        <v>0.0000</v>
      </c>
      <c r="GG30">
        <v>0.0000</v>
      </c>
      <c r="GH30" s="3">
        <v>46122.659502314818</v>
      </c>
      <c r="GI30">
        <v>1</v>
      </c>
      <c r="GJ30" t="b">
        <v>1</v>
      </c>
      <c r="GK30" t="inlineStr">
        <is>
          <t>Yes</t>
        </is>
      </c>
      <c r="GO30" s="3">
        <v>46122.659502314818</v>
      </c>
      <c r="GQ30" s="3">
        <v>45755.102754629632</v>
      </c>
      <c r="GR30" s="3">
        <v>46122.659502314818</v>
      </c>
      <c r="GS30">
        <v>1</v>
      </c>
      <c r="GU30" s="3">
        <v>46122.659502314818</v>
      </c>
      <c r="GY30" t="inlineStr">
        <is>
          <t>000001060557</t>
        </is>
      </c>
      <c r="HB30" t="inlineStr">
        <is>
          <t>SALLY TRAN</t>
        </is>
      </c>
      <c r="HI30">
        <v>0.0000</v>
      </c>
      <c r="HK30" s="3">
        <v>46122.659502314818</v>
      </c>
      <c r="HL30">
        <v>1</v>
      </c>
      <c r="HM30">
        <v>0.0000</v>
      </c>
      <c r="HN30">
        <v>0.0000</v>
      </c>
      <c r="HO30" s="3">
        <v>46122.659502314818</v>
      </c>
      <c r="HP30">
        <v>1</v>
      </c>
      <c r="HX30" t="inlineStr" s="6">
        <f>HYPERLINK("https://metagenicsd365.crm6.dynamics.com/main.aspx?etn=meta_paymentterm&amp;pagetype=entityrecord&amp;id=31971c9d-38ba-eb11-8236-00224817f624","31971c9d-38ba-eb11-8236-00224817f624")</f>
        <v>31971c9d-38ba-eb11-8236-00224817f624</v>
      </c>
      <c r="HY30" t="inlineStr">
        <is>
          <t>Cash</t>
        </is>
      </c>
      <c r="IC30" t="inlineStr">
        <is>
          <t>VIC</t>
        </is>
      </c>
      <c r="ID30" t="inlineStr">
        <is>
          <t>22 CHAMBERLAIN DRIVE</t>
        </is>
      </c>
      <c r="IE30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30" t="inlineStr">
        <is>
          <t>Australia</t>
        </is>
      </c>
      <c r="IG30" t="inlineStr" s="6">
        <f>HYPERLINK("https://metagenicsd365.crm6.dynamics.com/main.aspx?etn=meta_postcode&amp;pagetype=entityrecord&amp;id=0f34c806-b2a7-e911-a875-000d3ae104e7","0f34c806-b2a7-e911-a875-000d3ae104e7")</f>
        <v>0f34c806-b2a7-e911-a875-000d3ae104e7</v>
      </c>
      <c r="IH30" t="inlineStr">
        <is>
          <t>3137</t>
        </is>
      </c>
      <c r="II30" t="inlineStr" s="6">
        <f>HYPERLINK("https://metagenicsd365.crm6.dynamics.com/main.aspx?etn=meta_suburb&amp;pagetype=entityrecord&amp;id=8a0ff579-b6a7-e911-a86f-000d3ae10f1f","8a0ff579-b6a7-e911-a86f-000d3ae10f1f")</f>
        <v>8a0ff579-b6a7-e911-a86f-000d3ae10f1f</v>
      </c>
      <c r="IJ30" t="inlineStr">
        <is>
          <t>KILSYTH SOUTH</t>
        </is>
      </c>
      <c r="IK30" t="inlineStr" s="6">
        <f>HYPERLINK("https://metagenicsd365.crm6.dynamics.com/main.aspx?etn=meta_postcode&amp;pagetype=entityrecord&amp;id=0f34c806-b2a7-e911-a875-000d3ae104e7","0f34c806-b2a7-e911-a875-000d3ae104e7")</f>
        <v>0f34c806-b2a7-e911-a875-000d3ae104e7</v>
      </c>
      <c r="IL30" t="inlineStr">
        <is>
          <t>3137</t>
        </is>
      </c>
      <c r="IM30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30" t="inlineStr">
        <is>
          <t># HWORLD</t>
        </is>
      </c>
      <c r="IO30" t="inlineStr" s="6">
        <f>HYPERLINK("https://metagenicsd365.crm6.dynamics.com/main.aspx?etn=meta_segment&amp;pagetype=entityrecord&amp;id=44e3a56e-8030-eb11-a813-000d3ae15585","44e3a56e-8030-eb11-a813-000d3ae15585")</f>
        <v>44e3a56e-8030-eb11-a813-000d3ae15585</v>
      </c>
      <c r="IP30" t="inlineStr">
        <is>
          <t>10 - New accounts opened</t>
        </is>
      </c>
      <c r="IQ30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30" t="inlineStr">
        <is>
          <t>APH0</t>
        </is>
      </c>
      <c r="IZ30">
        <v>951850000</v>
      </c>
      <c r="JA30" t="inlineStr">
        <is>
          <t>Billing</t>
        </is>
      </c>
      <c r="JE30" t="b">
        <v>0</v>
      </c>
      <c r="JF30" t="inlineStr">
        <is>
          <t>No</t>
        </is>
      </c>
      <c r="JT30">
        <v>951850001</v>
      </c>
      <c r="JU30" t="inlineStr">
        <is>
          <t>EXP - Standard Shipping</t>
        </is>
      </c>
      <c r="JY30" t="inlineStr" s="6">
        <f>HYPERLINK("https://metagenicsd365.crm6.dynamics.com/main.aspx?etn=meta_suburb&amp;pagetype=entityrecord&amp;id=8a0ff579-b6a7-e911-a86f-000d3ae10f1f","8a0ff579-b6a7-e911-a86f-000d3ae10f1f")</f>
        <v>8a0ff579-b6a7-e911-a86f-000d3ae10f1f</v>
      </c>
      <c r="JZ30" t="inlineStr">
        <is>
          <t>KILSYTH SOUTH</t>
        </is>
      </c>
      <c r="KB30">
        <v>0.0000</v>
      </c>
      <c r="KD30" s="3">
        <v>46122.659502314818</v>
      </c>
      <c r="KE30">
        <v>1</v>
      </c>
      <c r="KF30">
        <v>0.0000</v>
      </c>
      <c r="KG30">
        <v>0.0000</v>
      </c>
      <c r="KH30" s="3">
        <v>46122.659502314818</v>
      </c>
      <c r="KI30">
        <v>1</v>
      </c>
      <c r="KJ30">
        <v>0.0000</v>
      </c>
      <c r="KK30">
        <v>0.0000</v>
      </c>
      <c r="KL30" s="3">
        <v>46122.659502314818</v>
      </c>
      <c r="KM30">
        <v>1</v>
      </c>
      <c r="KN30" t="b">
        <v>0</v>
      </c>
      <c r="KO30" t="inlineStr">
        <is>
          <t>No</t>
        </is>
      </c>
      <c r="KP30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30" t="inlineStr">
        <is>
          <t>Sriganesh Subramanian</t>
        </is>
      </c>
      <c r="KT30" s="3">
        <v>46086.424189814818</v>
      </c>
      <c r="LA30" t="b">
        <v>0</v>
      </c>
      <c r="LB30" t="inlineStr">
        <is>
          <t>No</t>
        </is>
      </c>
      <c r="LH30" t="inlineStr">
        <is>
          <t>SALLY TRAN</t>
        </is>
      </c>
      <c r="LO30">
        <v>0</v>
      </c>
      <c r="LP30" s="3">
        <v>46122.659502314818</v>
      </c>
      <c r="LQ30">
        <v>1</v>
      </c>
      <c r="LR30">
        <v>0.0000</v>
      </c>
      <c r="LS30">
        <v>0.0000</v>
      </c>
      <c r="LT30" s="3">
        <v>46122.659502314818</v>
      </c>
      <c r="LU30">
        <v>1</v>
      </c>
      <c r="LY30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30" t="inlineStr">
        <is>
          <t>Australia</t>
        </is>
      </c>
      <c r="MA30" t="inlineStr">
        <is>
          <t>team</t>
        </is>
      </c>
      <c r="MD30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30" t="inlineStr">
        <is>
          <t>Australia</t>
        </is>
      </c>
      <c r="MF30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L30" t="b">
        <v>0</v>
      </c>
      <c r="MM30" t="inlineStr">
        <is>
          <t>No</t>
        </is>
      </c>
      <c r="MT30">
        <v>1</v>
      </c>
      <c r="MU30" t="inlineStr">
        <is>
          <t>Any</t>
        </is>
      </c>
      <c r="NB30" t="inlineStr" s="6">
        <f>HYPERLINK("https://metagenicsd365.crm6.dynamics.com/main.aspx?etn=contact&amp;pagetype=entityrecord&amp;id=8859ad2d-de55-ef11-bfe3-000d3ae03b87","8859ad2d-de55-ef11-bfe3-000d3ae03b87")</f>
        <v>8859ad2d-de55-ef11-bfe3-000d3ae03b87</v>
      </c>
      <c r="NC30" t="inlineStr">
        <is>
          <t>SALLY TRAN OSTEOPATH</t>
        </is>
      </c>
      <c r="NJ30">
        <v>1</v>
      </c>
      <c r="NK30" t="inlineStr">
        <is>
          <t>Airborne</t>
        </is>
      </c>
      <c r="NR30">
        <v>0</v>
      </c>
      <c r="NS30" t="inlineStr">
        <is>
          <t>Active</t>
        </is>
      </c>
      <c r="NT30">
        <v>1</v>
      </c>
      <c r="NU30" t="inlineStr">
        <is>
          <t>Active</t>
        </is>
      </c>
      <c r="NX30" t="inlineStr">
        <is>
          <t>0423 076 724</t>
        </is>
      </c>
      <c r="NY30" t="inlineStr">
        <is>
          <t>0423 076 724</t>
        </is>
      </c>
      <c r="OA30">
        <v>1</v>
      </c>
      <c r="OB30" t="inlineStr">
        <is>
          <t>Default Value</t>
        </is>
      </c>
      <c r="OG30">
        <v>0</v>
      </c>
      <c r="OH30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30" t="inlineStr">
        <is>
          <t>Australian Dollar</t>
        </is>
      </c>
      <c r="OL30" t="inlineStr">
        <is>
          <t>0x000000003D831B16</t>
        </is>
      </c>
    </row>
    <row r="31">
      <c r="C31">
        <v>1</v>
      </c>
      <c r="D31" t="inlineStr">
        <is>
          <t>Default Value</t>
        </is>
      </c>
      <c r="E31" t="inlineStr" s="6">
        <f>HYPERLINK("https://metagenicsd365.crm6.dynamics.com/main.aspx?etn=account&amp;pagetype=entityrecord&amp;id=ff64403a-2259-ef11-bfe3-000d3a793080","ff64403a-2259-ef11-bfe3-000d3a793080")</f>
        <v>ff64403a-2259-ef11-bfe3-000d3a793080</v>
      </c>
      <c r="F31" t="inlineStr">
        <is>
          <t>NZ19516</t>
        </is>
      </c>
      <c r="G31">
        <v>1</v>
      </c>
      <c r="H31" t="inlineStr">
        <is>
          <t>Default Value</t>
        </is>
      </c>
      <c r="I31" t="inlineStr" s="6">
        <f>HYPERLINK("https://metagenicsd365.crm6.dynamics.com/main.aspx?etn=account&amp;pagetype=entityrecord&amp;id=8121383c-1924-4e5b-a405-42d6d4b383d7","8121383c-1924-4e5b-a405-42d6d4b383d7")</f>
        <v>8121383c-1924-4e5b-a405-42d6d4b383d7</v>
      </c>
      <c r="L31" t="inlineStr">
        <is>
          <t>/meta_suburbs(c6be07b7-b6a7-e911-a873-000d3ae10cf1)</t>
        </is>
      </c>
      <c r="M31" t="inlineStr">
        <is>
          <t>98 HOBSONVILLE ROAD
/meta_suburbs(c6be07b7-b6a7-e911-a873-000d3ae10cf1)</t>
        </is>
      </c>
      <c r="T31" t="inlineStr">
        <is>
          <t>98 HOBSONVILLE ROAD</t>
        </is>
      </c>
      <c r="AE31" t="inlineStr">
        <is>
          <t>0212 100 617</t>
        </is>
      </c>
      <c r="AJ31" t="inlineStr" s="6">
        <f>HYPERLINK("https://metagenicsd365.crm6.dynamics.com/main.aspx?etn=account&amp;pagetype=entityrecord&amp;id=74cee485-f47e-4200-954c-1f51256f1cf4","74cee485-f47e-4200-954c-1f51256f1cf4")</f>
        <v>74cee485-f47e-4200-954c-1f51256f1cf4</v>
      </c>
      <c r="AK31">
        <v>1</v>
      </c>
      <c r="AL31" t="inlineStr">
        <is>
          <t>Default Value</t>
        </is>
      </c>
      <c r="AM31" t="inlineStr">
        <is>
          <t>/meta_suburbs(c6be07b7-b6a7-e911-a873-000d3ae10cf1)</t>
        </is>
      </c>
      <c r="AN31" t="inlineStr">
        <is>
          <t>98 HOBSONVILLE ROAD
/meta_suburbs(c6be07b7-b6a7-e911-a873-000d3ae10cf1)</t>
        </is>
      </c>
      <c r="AR31">
        <v>1</v>
      </c>
      <c r="AS31" t="inlineStr">
        <is>
          <t>Default Value</t>
        </is>
      </c>
      <c r="AU31" t="inlineStr">
        <is>
          <t>98 HOBSONVILLE ROAD</t>
        </is>
      </c>
      <c r="BC31">
        <v>1</v>
      </c>
      <c r="BD31" t="inlineStr">
        <is>
          <t>Default Value</t>
        </is>
      </c>
      <c r="BU31">
        <v>1</v>
      </c>
      <c r="BV31" t="inlineStr">
        <is>
          <t>Default Value</t>
        </is>
      </c>
      <c r="BY31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31" t="inlineStr">
        <is>
          <t>SVC_D365_CE #</t>
        </is>
      </c>
      <c r="CC31" s="3">
        <v>45517.135520833333</v>
      </c>
      <c r="CH31" t="b">
        <v>0</v>
      </c>
      <c r="CI31" t="inlineStr">
        <is>
          <t>No</t>
        </is>
      </c>
      <c r="CJ31">
        <v>1</v>
      </c>
      <c r="CK31" t="inlineStr">
        <is>
          <t>Default Value</t>
        </is>
      </c>
      <c r="CN31" t="inlineStr" s="6">
        <f>HYPERLINK("https://metagenicsd365.crm6.dynamics.com/main.aspx?etn=pricelevel&amp;pagetype=entityrecord&amp;id=dd1fe895-6aa7-e911-a886-000d3ae106b8","dd1fe895-6aa7-e911-a886-000d3ae106b8")</f>
        <v>dd1fe895-6aa7-e911-a886-000d3ae106b8</v>
      </c>
      <c r="CO31" t="inlineStr">
        <is>
          <t>All Products New Zealand</t>
        </is>
      </c>
      <c r="CQ31" t="b">
        <v>0</v>
      </c>
      <c r="CR31" t="inlineStr">
        <is>
          <t>Allow</t>
        </is>
      </c>
      <c r="CS31" t="b">
        <v>0</v>
      </c>
      <c r="CT31" t="inlineStr">
        <is>
          <t>No</t>
        </is>
      </c>
      <c r="CU31" t="b">
        <v>0</v>
      </c>
      <c r="CV31" t="inlineStr">
        <is>
          <t>Allow</t>
        </is>
      </c>
      <c r="CW31" t="b">
        <v>0</v>
      </c>
      <c r="CX31" t="inlineStr">
        <is>
          <t>Allow</t>
        </is>
      </c>
      <c r="CY31" t="b">
        <v>0</v>
      </c>
      <c r="CZ31" t="inlineStr">
        <is>
          <t>Allow</t>
        </is>
      </c>
      <c r="DA31" t="b">
        <v>0</v>
      </c>
      <c r="DB31" t="inlineStr">
        <is>
          <t>Allow</t>
        </is>
      </c>
      <c r="DC31" t="b">
        <v>0</v>
      </c>
      <c r="DD31" t="inlineStr">
        <is>
          <t>Send</t>
        </is>
      </c>
      <c r="DE31" t="inlineStr">
        <is>
          <t>info@northwestpharmacy.co.nz</t>
        </is>
      </c>
      <c r="DF31" t="inlineStr">
        <is>
          <t>info@northwestpharmacy.co.nz</t>
        </is>
      </c>
      <c r="DH31" t="inlineStr">
        <is>
          <t>5754d0df-2ace-f011-bbd3-00224818734c</t>
        </is>
      </c>
      <c r="DO31">
        <v>1.1000000000</v>
      </c>
      <c r="DQ31" t="b">
        <v>1</v>
      </c>
      <c r="DR31" t="inlineStr">
        <is>
          <t>Allow</t>
        </is>
      </c>
      <c r="EA31" t="b">
        <v>0</v>
      </c>
      <c r="EB31" t="inlineStr">
        <is>
          <t>No</t>
        </is>
      </c>
      <c r="EE31" t="b">
        <v>0</v>
      </c>
      <c r="EF31" t="inlineStr">
        <is>
          <t>No</t>
        </is>
      </c>
      <c r="EG31" t="inlineStr">
        <is>
          <t>No</t>
        </is>
      </c>
      <c r="EJ31" t="inlineStr">
        <is>
          <t>951850000,951850001</t>
        </is>
      </c>
      <c r="EK31" t="inlineStr">
        <is>
          <t>Retail; Practitioner</t>
        </is>
      </c>
      <c r="EL31" s="3">
        <v>45517.13208333333</v>
      </c>
      <c r="EM31" s="3">
        <v>93138.99998842593</v>
      </c>
      <c r="EN31" t="inlineStr">
        <is>
          <t>PRAC</t>
        </is>
      </c>
      <c r="EO31" t="b">
        <v>0</v>
      </c>
      <c r="EP31" t="inlineStr">
        <is>
          <t>No</t>
        </is>
      </c>
      <c r="EQ31" t="inlineStr">
        <is>
          <t>No</t>
        </is>
      </c>
      <c r="EU31" t="inlineStr" s="6">
        <f>HYPERLINK("https://metagenicsd365.crm6.dynamics.com/main.aspx?etn=meta_country&amp;pagetype=entityrecord&amp;id=b5015a9c-41a7-e911-a86f-000d3ae10f1f","b5015a9c-41a7-e911-a86f-000d3ae10f1f")</f>
        <v>b5015a9c-41a7-e911-a86f-000d3ae10f1f</v>
      </c>
      <c r="EV31" t="inlineStr">
        <is>
          <t>New Zealand</t>
        </is>
      </c>
      <c r="EW31">
        <v>951850003</v>
      </c>
      <c r="EX31" t="inlineStr">
        <is>
          <t>PRA01</t>
        </is>
      </c>
      <c r="EY31" t="inlineStr" s="6">
        <f>HYPERLINK("https://metagenicsd365.crm6.dynamics.com/main.aspx?etn=meta_postcode&amp;pagetype=entityrecord&amp;id=e4c0abbe-b2a7-e911-a86f-000d3ae10f1f","e4c0abbe-b2a7-e911-a86f-000d3ae10f1f")</f>
        <v>e4c0abbe-b2a7-e911-a86f-000d3ae10f1f</v>
      </c>
      <c r="EZ31" t="inlineStr">
        <is>
          <t>0618</t>
        </is>
      </c>
      <c r="FA31" t="inlineStr" s="6">
        <f>HYPERLINK("https://metagenicsd365.crm6.dynamics.com/main.aspx?etn=meta_suburb&amp;pagetype=entityrecord&amp;id=c6be07b7-b6a7-e911-a873-000d3ae10cf1","c6be07b7-b6a7-e911-a873-000d3ae10cf1")</f>
        <v>c6be07b7-b6a7-e911-a873-000d3ae10cf1</v>
      </c>
      <c r="FB31" t="inlineStr">
        <is>
          <t>HOBSONVILLE</t>
        </is>
      </c>
      <c r="FC31" t="inlineStr" s="6">
        <f>HYPERLINK("https://metagenicsd365.crm6.dynamics.com/main.aspx?etn=businessunit&amp;pagetype=entityrecord&amp;id=185d6825-ff84-e811-a95f-000d3ae058f0","185d6825-ff84-e811-a95f-000d3ae058f0")</f>
        <v>185d6825-ff84-e811-a95f-000d3ae058f0</v>
      </c>
      <c r="FD31" t="inlineStr">
        <is>
          <t>New Zealand</t>
        </is>
      </c>
      <c r="FE31" t="inlineStr">
        <is>
          <t>0000000NZ19516</t>
        </is>
      </c>
      <c r="FM31" t="inlineStr" s="6">
        <f>HYPERLINK("https://metagenicsd365.crm6.dynamics.com/main.aspx?etn=meta_country&amp;pagetype=entityrecord&amp;id=b5015a9c-41a7-e911-a86f-000d3ae10f1f","b5015a9c-41a7-e911-a86f-000d3ae10f1f")</f>
        <v>b5015a9c-41a7-e911-a86f-000d3ae10f1f</v>
      </c>
      <c r="FN31" t="inlineStr">
        <is>
          <t>New Zealand</t>
        </is>
      </c>
      <c r="FO31" t="b">
        <v>1</v>
      </c>
      <c r="FP31" t="inlineStr">
        <is>
          <t>Yes</t>
        </is>
      </c>
      <c r="FQ31" t="inlineStr">
        <is>
          <t>PRACS</t>
        </is>
      </c>
      <c r="FW31" t="b">
        <v>0</v>
      </c>
      <c r="FX31" t="inlineStr">
        <is>
          <t>No</t>
        </is>
      </c>
      <c r="GA31" t="inlineStr">
        <is>
          <t>ABL10179489</t>
        </is>
      </c>
      <c r="GD31">
        <v>951850000</v>
      </c>
      <c r="GE31" t="inlineStr">
        <is>
          <t>Pending</t>
        </is>
      </c>
      <c r="GF31">
        <v>0.0000</v>
      </c>
      <c r="GG31">
        <v>0.0000</v>
      </c>
      <c r="GH31" s="3">
        <v>46122.659502314818</v>
      </c>
      <c r="GI31">
        <v>1</v>
      </c>
      <c r="GJ31" t="b">
        <v>1</v>
      </c>
      <c r="GK31" t="inlineStr">
        <is>
          <t>Yes</t>
        </is>
      </c>
      <c r="GL31" t="b">
        <v>1</v>
      </c>
      <c r="GM31" t="inlineStr">
        <is>
          <t>Yes</t>
        </is>
      </c>
      <c r="GO31" s="3">
        <v>46122.659502314818</v>
      </c>
      <c r="GP31">
        <v>1</v>
      </c>
      <c r="GQ31" s="3">
        <v>46070.143969907411</v>
      </c>
      <c r="GR31" s="3">
        <v>46122.659502314818</v>
      </c>
      <c r="GS31">
        <v>1</v>
      </c>
      <c r="GT31" s="3">
        <v>46120.215069444443</v>
      </c>
      <c r="GU31" s="3">
        <v>46122.659502314818</v>
      </c>
      <c r="GV31">
        <v>1</v>
      </c>
      <c r="GY31" t="inlineStr">
        <is>
          <t>NZ19516</t>
        </is>
      </c>
      <c r="HB31" t="inlineStr">
        <is>
          <t>NORTHWEST PHARMACY</t>
        </is>
      </c>
      <c r="HC31" t="inlineStr">
        <is>
          <t>P0R10</t>
        </is>
      </c>
      <c r="HI31">
        <v>6178.2000</v>
      </c>
      <c r="HJ31">
        <v>5616.5455</v>
      </c>
      <c r="HK31" s="3">
        <v>46122.659502314818</v>
      </c>
      <c r="HL31">
        <v>1</v>
      </c>
      <c r="HM31">
        <v>0.0000</v>
      </c>
      <c r="HN31">
        <v>0.0000</v>
      </c>
      <c r="HO31" s="3">
        <v>46122.659502314818</v>
      </c>
      <c r="HP31">
        <v>1</v>
      </c>
      <c r="HX31" t="inlineStr" s="6">
        <f>HYPERLINK("https://metagenicsd365.crm6.dynamics.com/main.aspx?etn=meta_paymentterm&amp;pagetype=entityrecord&amp;id=884d37f0-37ba-eb11-8236-00224817f624","884d37f0-37ba-eb11-8236-00224817f624")</f>
        <v>884d37f0-37ba-eb11-8236-00224817f624</v>
      </c>
      <c r="HY31" t="inlineStr">
        <is>
          <t>Net 20 Days End of Month</t>
        </is>
      </c>
      <c r="ID31" t="inlineStr">
        <is>
          <t>98 HOBSONVILLE ROAD</t>
        </is>
      </c>
      <c r="IE31" t="inlineStr" s="6">
        <f>HYPERLINK("https://metagenicsd365.crm6.dynamics.com/main.aspx?etn=meta_country&amp;pagetype=entityrecord&amp;id=b5015a9c-41a7-e911-a86f-000d3ae10f1f","b5015a9c-41a7-e911-a86f-000d3ae10f1f")</f>
        <v>b5015a9c-41a7-e911-a86f-000d3ae10f1f</v>
      </c>
      <c r="IF31" t="inlineStr">
        <is>
          <t>New Zealand</t>
        </is>
      </c>
      <c r="IG31" t="inlineStr" s="6">
        <f>HYPERLINK("https://metagenicsd365.crm6.dynamics.com/main.aspx?etn=meta_postcode&amp;pagetype=entityrecord&amp;id=e4c0abbe-b2a7-e911-a86f-000d3ae10f1f","e4c0abbe-b2a7-e911-a86f-000d3ae10f1f")</f>
        <v>e4c0abbe-b2a7-e911-a86f-000d3ae10f1f</v>
      </c>
      <c r="IH31" t="inlineStr">
        <is>
          <t>0618</t>
        </is>
      </c>
      <c r="II31" t="inlineStr" s="6">
        <f>HYPERLINK("https://metagenicsd365.crm6.dynamics.com/main.aspx?etn=meta_suburb&amp;pagetype=entityrecord&amp;id=c6be07b7-b6a7-e911-a873-000d3ae10cf1","c6be07b7-b6a7-e911-a873-000d3ae10cf1")</f>
        <v>c6be07b7-b6a7-e911-a873-000d3ae10cf1</v>
      </c>
      <c r="IJ31" t="inlineStr">
        <is>
          <t>HOBSONVILLE</t>
        </is>
      </c>
      <c r="IK31" t="inlineStr" s="6">
        <f>HYPERLINK("https://metagenicsd365.crm6.dynamics.com/main.aspx?etn=meta_postcode&amp;pagetype=entityrecord&amp;id=e4c0abbe-b2a7-e911-a86f-000d3ae10f1f","e4c0abbe-b2a7-e911-a86f-000d3ae10f1f")</f>
        <v>e4c0abbe-b2a7-e911-a86f-000d3ae10f1f</v>
      </c>
      <c r="IL31" t="inlineStr">
        <is>
          <t>0618</t>
        </is>
      </c>
      <c r="IM31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31" t="inlineStr">
        <is>
          <t># HWORLD</t>
        </is>
      </c>
      <c r="IO31" t="inlineStr" s="6">
        <f>HYPERLINK("https://metagenicsd365.crm6.dynamics.com/main.aspx?etn=meta_segment&amp;pagetype=entityrecord&amp;id=2a502c7c-0340-f011-8779-6045bd40364e","2a502c7c-0340-f011-8779-6045bd40364e")</f>
        <v>2a502c7c-0340-f011-8779-6045bd40364e</v>
      </c>
      <c r="IP31" t="inlineStr">
        <is>
          <t>21 - Outbound Practitioner Head Office Contact</t>
        </is>
      </c>
      <c r="IQ31" t="inlineStr" s="6">
        <f>HYPERLINK("https://metagenicsd365.crm6.dynamics.com/main.aspx?etn=territory&amp;pagetype=entityrecord&amp;id=c74322e5-8030-eb11-a813-000d3ae15585","c74322e5-8030-eb11-a813-000d3ae15585")</f>
        <v>c74322e5-8030-eb11-a813-000d3ae15585</v>
      </c>
      <c r="IR31" t="inlineStr">
        <is>
          <t>NPH0</t>
        </is>
      </c>
      <c r="IU31" t="b">
        <v>1</v>
      </c>
      <c r="IV31" t="inlineStr">
        <is>
          <t>Yes</t>
        </is>
      </c>
      <c r="IW31" t="inlineStr" s="6">
        <f>HYPERLINK("https://metagenicsd365.crm6.dynamics.com/main.aspx?etn=meta_modality&amp;pagetype=entityrecord&amp;id=282a30ea-42a7-e911-a86f-000d3ae10f1f","282a30ea-42a7-e911-a86f-000d3ae10f1f")</f>
        <v>282a30ea-42a7-e911-a86f-000d3ae10f1f</v>
      </c>
      <c r="IX31" t="inlineStr">
        <is>
          <t>Pharmacist</t>
        </is>
      </c>
      <c r="IZ31">
        <v>951850000</v>
      </c>
      <c r="JA31" t="inlineStr">
        <is>
          <t>Billing</t>
        </is>
      </c>
      <c r="JE31" t="b">
        <v>0</v>
      </c>
      <c r="JF31" t="inlineStr">
        <is>
          <t>No</t>
        </is>
      </c>
      <c r="JI31" t="inlineStr" s="6">
        <f>HYPERLINK("https://metagenicsd365.crm6.dynamics.com/main.aspx?etn=systemuser&amp;pagetype=entityrecord&amp;id=f2d26c8d-be01-ea11-a811-000d3a79940e","f2d26c8d-be01-ea11-a811-000d3a79940e")</f>
        <v>f2d26c8d-be01-ea11-a811-000d3a79940e</v>
      </c>
      <c r="JJ31" t="inlineStr">
        <is>
          <t>Kathleen Bartlett</t>
        </is>
      </c>
      <c r="JK31" t="inlineStr" s="6">
        <f>HYPERLINK("https://metagenicsd365.crm6.dynamics.com/main.aspx?etn=meta_segment&amp;pagetype=entityrecord&amp;id=62f55b6c-8030-eb11-a813-000d3ae1554c","62f55b6c-8030-eb11-a813-000d3ae1554c")</f>
        <v>62f55b6c-8030-eb11-a813-000d3ae1554c</v>
      </c>
      <c r="JL31" t="inlineStr">
        <is>
          <t>4 - Small retail pharmacy</t>
        </is>
      </c>
      <c r="JM31" t="inlineStr" s="6">
        <f>HYPERLINK("https://metagenicsd365.crm6.dynamics.com/main.aspx?etn=territory&amp;pagetype=entityrecord&amp;id=7e2bcde0-8030-eb11-a813-000d3ae1554c","7e2bcde0-8030-eb11-a813-000d3ae1554c")</f>
        <v>7e2bcde0-8030-eb11-a813-000d3ae1554c</v>
      </c>
      <c r="JN31" t="inlineStr">
        <is>
          <t>9R01</t>
        </is>
      </c>
      <c r="JT31">
        <v>803920000</v>
      </c>
      <c r="JU31" t="inlineStr">
        <is>
          <t>CP</t>
        </is>
      </c>
      <c r="JY31" t="inlineStr" s="6">
        <f>HYPERLINK("https://metagenicsd365.crm6.dynamics.com/main.aspx?etn=meta_suburb&amp;pagetype=entityrecord&amp;id=c6be07b7-b6a7-e911-a873-000d3ae10cf1","c6be07b7-b6a7-e911-a873-000d3ae10cf1")</f>
        <v>c6be07b7-b6a7-e911-a873-000d3ae10cf1</v>
      </c>
      <c r="JZ31" t="inlineStr">
        <is>
          <t>HOBSONVILLE</t>
        </is>
      </c>
      <c r="KB31">
        <v>6178.2000</v>
      </c>
      <c r="KC31">
        <v>5616.5455</v>
      </c>
      <c r="KD31" s="3">
        <v>46122.659502314818</v>
      </c>
      <c r="KE31">
        <v>1</v>
      </c>
      <c r="KF31">
        <v>0.0000</v>
      </c>
      <c r="KG31">
        <v>0.0000</v>
      </c>
      <c r="KH31" s="3">
        <v>46122.659502314818</v>
      </c>
      <c r="KI31">
        <v>1</v>
      </c>
      <c r="KJ31">
        <v>0.0000</v>
      </c>
      <c r="KK31">
        <v>0.0000</v>
      </c>
      <c r="KL31" s="3">
        <v>46122.659502314818</v>
      </c>
      <c r="KM31">
        <v>1</v>
      </c>
      <c r="KN31" t="b">
        <v>0</v>
      </c>
      <c r="KO31" t="inlineStr">
        <is>
          <t>No</t>
        </is>
      </c>
      <c r="KP31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KQ31" t="inlineStr">
        <is>
          <t>SVC_D365_CE #</t>
        </is>
      </c>
      <c r="KT31" s="3">
        <v>46101.813032407408</v>
      </c>
      <c r="LA31" t="b">
        <v>0</v>
      </c>
      <c r="LB31" t="inlineStr">
        <is>
          <t>No</t>
        </is>
      </c>
      <c r="LH31" t="inlineStr">
        <is>
          <t>NORTHWEST PHARMACY</t>
        </is>
      </c>
      <c r="LO31">
        <v>0</v>
      </c>
      <c r="LP31" s="3">
        <v>46122.659502314818</v>
      </c>
      <c r="LQ31">
        <v>1</v>
      </c>
      <c r="LR31">
        <v>0.0000</v>
      </c>
      <c r="LS31">
        <v>0.0000</v>
      </c>
      <c r="LT31" s="3">
        <v>46122.659502314818</v>
      </c>
      <c r="LU31">
        <v>1</v>
      </c>
      <c r="LY31" t="inlineStr" s="6">
        <f>HYPERLINK("https://metagenicsd365.crm6.dynamics.com/main.aspx?etn=team&amp;pagetype=entityrecord&amp;id=195d6825-ff84-e811-a95f-000d3ae058f0","195d6825-ff84-e811-a95f-000d3ae058f0")</f>
        <v>195d6825-ff84-e811-a95f-000d3ae058f0</v>
      </c>
      <c r="LZ31" t="inlineStr">
        <is>
          <t>New Zealand</t>
        </is>
      </c>
      <c r="MA31" t="inlineStr">
        <is>
          <t>team</t>
        </is>
      </c>
      <c r="MD31" t="inlineStr" s="6">
        <f>HYPERLINK("https://metagenicsd365.crm6.dynamics.com/main.aspx?etn=businessunit&amp;pagetype=entityrecord&amp;id=185d6825-ff84-e811-a95f-000d3ae058f0","185d6825-ff84-e811-a95f-000d3ae058f0")</f>
        <v>185d6825-ff84-e811-a95f-000d3ae058f0</v>
      </c>
      <c r="ME31" t="inlineStr">
        <is>
          <t>New Zealand</t>
        </is>
      </c>
      <c r="MF31" t="inlineStr" s="6">
        <f>HYPERLINK("https://metagenicsd365.crm6.dynamics.com/main.aspx?etn=team&amp;pagetype=entityrecord&amp;id=195d6825-ff84-e811-a95f-000d3ae058f0","195d6825-ff84-e811-a95f-000d3ae058f0")</f>
        <v>195d6825-ff84-e811-a95f-000d3ae058f0</v>
      </c>
      <c r="ML31" t="b">
        <v>0</v>
      </c>
      <c r="MM31" t="inlineStr">
        <is>
          <t>No</t>
        </is>
      </c>
      <c r="MT31">
        <v>1</v>
      </c>
      <c r="MU31" t="inlineStr">
        <is>
          <t>Any</t>
        </is>
      </c>
      <c r="NB31" t="inlineStr" s="6">
        <f>HYPERLINK("https://metagenicsd365.crm6.dynamics.com/main.aspx?etn=contact&amp;pagetype=entityrecord&amp;id=3ddd7b39-2259-ef11-bfe3-6045bd3f5e56","3ddd7b39-2259-ef11-bfe3-6045bd3f5e56")</f>
        <v>3ddd7b39-2259-ef11-bfe3-6045bd3f5e56</v>
      </c>
      <c r="NC31" t="inlineStr">
        <is>
          <t>ABDUL ERAKI OWNER</t>
        </is>
      </c>
      <c r="NJ31">
        <v>1</v>
      </c>
      <c r="NK31" t="inlineStr">
        <is>
          <t>Airborne</t>
        </is>
      </c>
      <c r="NR31">
        <v>0</v>
      </c>
      <c r="NS31" t="inlineStr">
        <is>
          <t>Active</t>
        </is>
      </c>
      <c r="NT31">
        <v>1</v>
      </c>
      <c r="NU31" t="inlineStr">
        <is>
          <t>Active</t>
        </is>
      </c>
      <c r="NX31" t="inlineStr">
        <is>
          <t>0212 100 617</t>
        </is>
      </c>
      <c r="NY31" t="inlineStr">
        <is>
          <t>0212 100 617</t>
        </is>
      </c>
      <c r="OA31">
        <v>1</v>
      </c>
      <c r="OB31" t="inlineStr">
        <is>
          <t>Default Value</t>
        </is>
      </c>
      <c r="OG31">
        <v>0</v>
      </c>
      <c r="OH31" t="inlineStr" s="6">
        <f>HYPERLINK("https://metagenicsd365.crm6.dynamics.com/main.aspx?etn=transactioncurrency&amp;pagetype=entityrecord&amp;id=75fa7107-58cb-e811-a965-000d3ae0575b","75fa7107-58cb-e811-a965-000d3ae0575b")</f>
        <v>75fa7107-58cb-e811-a965-000d3ae0575b</v>
      </c>
      <c r="OI31" t="inlineStr">
        <is>
          <t>New Zealand Dollar</t>
        </is>
      </c>
      <c r="OL31" t="inlineStr">
        <is>
          <t>0x000000003E9C6FCE</t>
        </is>
      </c>
    </row>
    <row r="32">
      <c r="C32">
        <v>1</v>
      </c>
      <c r="D32" t="inlineStr">
        <is>
          <t>Default Value</t>
        </is>
      </c>
      <c r="E32" t="inlineStr" s="6">
        <f>HYPERLINK("https://metagenicsd365.crm6.dynamics.com/main.aspx?etn=account&amp;pagetype=entityrecord&amp;id=65c91bd0-a35a-ef11-bfe3-000d3a793080","65c91bd0-a35a-ef11-bfe3-000d3a793080")</f>
        <v>65c91bd0-a35a-ef11-bfe3-000d3a793080</v>
      </c>
      <c r="F32" t="inlineStr">
        <is>
          <t>000000005031</t>
        </is>
      </c>
      <c r="G32">
        <v>1</v>
      </c>
      <c r="H32" t="inlineStr">
        <is>
          <t>Default Value</t>
        </is>
      </c>
      <c r="I32" t="inlineStr" s="6">
        <f>HYPERLINK("https://metagenicsd365.crm6.dynamics.com/main.aspx?etn=account&amp;pagetype=entityrecord&amp;id=4cb20daf-8c66-4091-b65c-7f34a5ce0724","4cb20daf-8c66-4091-b65c-7f34a5ce0724")</f>
        <v>4cb20daf-8c66-4091-b65c-7f34a5ce0724</v>
      </c>
      <c r="M32" t="inlineStr">
        <is>
          <t>19 EVERGREEN CIRCUIT
VIC</t>
        </is>
      </c>
      <c r="T32" t="inlineStr">
        <is>
          <t>19 EVERGREEN CIRCUIT</t>
        </is>
      </c>
      <c r="AD32" t="inlineStr">
        <is>
          <t>VIC</t>
        </is>
      </c>
      <c r="AJ32" t="inlineStr" s="6">
        <f>HYPERLINK("https://metagenicsd365.crm6.dynamics.com/main.aspx?etn=account&amp;pagetype=entityrecord&amp;id=8bc52a6c-501e-4365-986a-1fffead5f913","8bc52a6c-501e-4365-986a-1fffead5f913")</f>
        <v>8bc52a6c-501e-4365-986a-1fffead5f913</v>
      </c>
      <c r="AK32">
        <v>1</v>
      </c>
      <c r="AL32" t="inlineStr">
        <is>
          <t>Default Value</t>
        </is>
      </c>
      <c r="AN32" t="inlineStr">
        <is>
          <t>1/7 JOYCE STREET
VIC</t>
        </is>
      </c>
      <c r="AR32">
        <v>1</v>
      </c>
      <c r="AS32" t="inlineStr">
        <is>
          <t>Default Value</t>
        </is>
      </c>
      <c r="AU32" t="inlineStr">
        <is>
          <t>1/7 JOYCE STREET</t>
        </is>
      </c>
      <c r="BC32">
        <v>1</v>
      </c>
      <c r="BD32" t="inlineStr">
        <is>
          <t>Default Value</t>
        </is>
      </c>
      <c r="BE32" t="inlineStr">
        <is>
          <t>VIC</t>
        </is>
      </c>
      <c r="BU32">
        <v>1</v>
      </c>
      <c r="BV32" t="inlineStr">
        <is>
          <t>Default Value</t>
        </is>
      </c>
      <c r="BY32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32" t="inlineStr">
        <is>
          <t>SVC_D365_CE #</t>
        </is>
      </c>
      <c r="CC32" s="3">
        <v>45519.052268518521</v>
      </c>
      <c r="CF32">
        <v>0.0000</v>
      </c>
      <c r="CG32">
        <v>0.0000</v>
      </c>
      <c r="CH32" t="b">
        <v>0</v>
      </c>
      <c r="CI32" t="inlineStr">
        <is>
          <t>No</t>
        </is>
      </c>
      <c r="CJ32">
        <v>1</v>
      </c>
      <c r="CK32" t="inlineStr">
        <is>
          <t>Default Value</t>
        </is>
      </c>
      <c r="CN32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32" t="inlineStr">
        <is>
          <t>All Products Australia</t>
        </is>
      </c>
      <c r="CQ32" t="b">
        <v>0</v>
      </c>
      <c r="CR32" t="inlineStr">
        <is>
          <t>Allow</t>
        </is>
      </c>
      <c r="CS32" t="b">
        <v>0</v>
      </c>
      <c r="CT32" t="inlineStr">
        <is>
          <t>No</t>
        </is>
      </c>
      <c r="CU32" t="b">
        <v>0</v>
      </c>
      <c r="CV32" t="inlineStr">
        <is>
          <t>Allow</t>
        </is>
      </c>
      <c r="CW32" t="b">
        <v>0</v>
      </c>
      <c r="CX32" t="inlineStr">
        <is>
          <t>Allow</t>
        </is>
      </c>
      <c r="CY32" t="b">
        <v>0</v>
      </c>
      <c r="CZ32" t="inlineStr">
        <is>
          <t>Allow</t>
        </is>
      </c>
      <c r="DA32" t="b">
        <v>0</v>
      </c>
      <c r="DB32" t="inlineStr">
        <is>
          <t>Allow</t>
        </is>
      </c>
      <c r="DC32" t="b">
        <v>0</v>
      </c>
      <c r="DD32" t="inlineStr">
        <is>
          <t>Send</t>
        </is>
      </c>
      <c r="DF32" t="inlineStr">
        <is>
          <t>andrew@horwood.id.au</t>
        </is>
      </c>
      <c r="DO32">
        <v>1.0000000000</v>
      </c>
      <c r="DQ32" t="b">
        <v>1</v>
      </c>
      <c r="DR32" t="inlineStr">
        <is>
          <t>Allow</t>
        </is>
      </c>
      <c r="EA32" t="b">
        <v>0</v>
      </c>
      <c r="EB32" t="inlineStr">
        <is>
          <t>No</t>
        </is>
      </c>
      <c r="EE32" t="b">
        <v>0</v>
      </c>
      <c r="EF32" t="inlineStr">
        <is>
          <t>No</t>
        </is>
      </c>
      <c r="EJ32" t="inlineStr">
        <is>
          <t>951850001</t>
        </is>
      </c>
      <c r="EK32" t="inlineStr">
        <is>
          <t>Practitioner</t>
        </is>
      </c>
      <c r="EL32" s="3">
        <v>45519.050729166665</v>
      </c>
      <c r="EM32" s="3">
        <v>93138.99998842593</v>
      </c>
      <c r="EO32" t="b">
        <v>0</v>
      </c>
      <c r="EP32" t="inlineStr">
        <is>
          <t>No</t>
        </is>
      </c>
      <c r="ES32" t="inlineStr" s="6">
        <f>HYPERLINK("https://metagenicsd365.crm6.dynamics.com/main.aspx?etn=account&amp;pagetype=entityrecord&amp;id=adf79727-85a7-e911-a875-000d3ae104e7","adf79727-85a7-e911-a875-000d3ae104e7")</f>
        <v>adf79727-85a7-e911-a875-000d3ae104e7</v>
      </c>
      <c r="ET32" t="inlineStr">
        <is>
          <t>DR ANDREW HORWOOD</t>
        </is>
      </c>
      <c r="EU32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32" t="inlineStr">
        <is>
          <t>Australia</t>
        </is>
      </c>
      <c r="EW32">
        <v>951850003</v>
      </c>
      <c r="EX32" t="inlineStr">
        <is>
          <t>PRA01</t>
        </is>
      </c>
      <c r="EY32" t="inlineStr" s="6">
        <f>HYPERLINK("https://metagenicsd365.crm6.dynamics.com/main.aspx?etn=meta_postcode&amp;pagetype=entityrecord&amp;id=d0818e2d-b2a7-e911-a862-000d3ae10c61","d0818e2d-b2a7-e911-a862-000d3ae10c61")</f>
        <v>d0818e2d-b2a7-e911-a862-000d3ae10c61</v>
      </c>
      <c r="EZ32" t="inlineStr">
        <is>
          <t>3155</t>
        </is>
      </c>
      <c r="FA32" t="inlineStr" s="6">
        <f>HYPERLINK("https://metagenicsd365.crm6.dynamics.com/main.aspx?etn=meta_suburb&amp;pagetype=entityrecord&amp;id=3585760d-b6a7-e911-a862-000d3ae10c61","3585760d-b6a7-e911-a862-000d3ae10c61")</f>
        <v>3585760d-b6a7-e911-a862-000d3ae10c61</v>
      </c>
      <c r="FB32" t="inlineStr">
        <is>
          <t>BORONIA</t>
        </is>
      </c>
      <c r="FC32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32" t="inlineStr">
        <is>
          <t>Australia</t>
        </is>
      </c>
      <c r="FE32" t="inlineStr">
        <is>
          <t>0000000000000005031</t>
        </is>
      </c>
      <c r="FM32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32" t="inlineStr">
        <is>
          <t>Australia</t>
        </is>
      </c>
      <c r="FO32" t="b">
        <v>1</v>
      </c>
      <c r="FP32" t="inlineStr">
        <is>
          <t>Yes</t>
        </is>
      </c>
      <c r="FQ32" t="inlineStr">
        <is>
          <t>PRACS</t>
        </is>
      </c>
      <c r="FW32" t="b">
        <v>0</v>
      </c>
      <c r="FX32" t="inlineStr">
        <is>
          <t>No</t>
        </is>
      </c>
      <c r="GA32" t="inlineStr">
        <is>
          <t>ABL10198155</t>
        </is>
      </c>
      <c r="GD32">
        <v>951850000</v>
      </c>
      <c r="GE32" t="inlineStr">
        <is>
          <t>Pending</t>
        </is>
      </c>
      <c r="GF32">
        <v>0.0000</v>
      </c>
      <c r="GG32">
        <v>0.0000</v>
      </c>
      <c r="GH32" s="3">
        <v>46122.659502314818</v>
      </c>
      <c r="GI32">
        <v>1</v>
      </c>
      <c r="GJ32" t="b">
        <v>1</v>
      </c>
      <c r="GK32" t="inlineStr">
        <is>
          <t>Yes</t>
        </is>
      </c>
      <c r="GO32" s="3">
        <v>46122.659502314818</v>
      </c>
      <c r="GR32" s="3">
        <v>46122.659502314818</v>
      </c>
      <c r="GU32" s="3">
        <v>46122.659502314818</v>
      </c>
      <c r="GY32" t="inlineStr">
        <is>
          <t>000000005031</t>
        </is>
      </c>
      <c r="GZ32" t="inlineStr">
        <is>
          <t>ABL10198155</t>
        </is>
      </c>
      <c r="HB32" t="inlineStr">
        <is>
          <t>DR ANDREW HORWOOD</t>
        </is>
      </c>
      <c r="HI32">
        <v>0.0000</v>
      </c>
      <c r="HJ32">
        <v>0.0000</v>
      </c>
      <c r="HK32" s="3">
        <v>46122.659502314818</v>
      </c>
      <c r="HL32">
        <v>1</v>
      </c>
      <c r="HM32">
        <v>0.0000</v>
      </c>
      <c r="HN32">
        <v>0.0000</v>
      </c>
      <c r="HO32" s="3">
        <v>46122.659502314818</v>
      </c>
      <c r="HP32">
        <v>1</v>
      </c>
      <c r="HX32" t="inlineStr" s="6">
        <f>HYPERLINK("https://metagenicsd365.crm6.dynamics.com/main.aspx?etn=meta_paymentterm&amp;pagetype=entityrecord&amp;id=31971c9d-38ba-eb11-8236-00224817f624","31971c9d-38ba-eb11-8236-00224817f624")</f>
        <v>31971c9d-38ba-eb11-8236-00224817f624</v>
      </c>
      <c r="HY32" t="inlineStr">
        <is>
          <t>Cash</t>
        </is>
      </c>
      <c r="IC32" t="inlineStr">
        <is>
          <t>VIC</t>
        </is>
      </c>
      <c r="ID32" t="inlineStr">
        <is>
          <t>19 EVERGREEN CIRCUIT</t>
        </is>
      </c>
      <c r="IE32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32" t="inlineStr">
        <is>
          <t>Australia</t>
        </is>
      </c>
      <c r="IG32" t="inlineStr" s="6">
        <f>HYPERLINK("https://metagenicsd365.crm6.dynamics.com/main.aspx?etn=meta_postcode&amp;pagetype=entityrecord&amp;id=6c2f5566-b2a7-e911-a873-000d3ae10139","6c2f5566-b2a7-e911-a873-000d3ae10139")</f>
        <v>6c2f5566-b2a7-e911-a873-000d3ae10139</v>
      </c>
      <c r="IH32" t="inlineStr">
        <is>
          <t>3226</t>
        </is>
      </c>
      <c r="II32" t="inlineStr" s="6">
        <f>HYPERLINK("https://metagenicsd365.crm6.dynamics.com/main.aspx?etn=meta_suburb&amp;pagetype=entityrecord&amp;id=2dbb9095-b3a7-e911-a862-000d3ae10c61","2dbb9095-b3a7-e911-a862-000d3ae10c61")</f>
        <v>2dbb9095-b3a7-e911-a862-000d3ae10c61</v>
      </c>
      <c r="IJ32" t="inlineStr">
        <is>
          <t>OCEAN GROVE</t>
        </is>
      </c>
      <c r="IK32" t="inlineStr" s="6">
        <f>HYPERLINK("https://metagenicsd365.crm6.dynamics.com/main.aspx?etn=meta_postcode&amp;pagetype=entityrecord&amp;id=6c2f5566-b2a7-e911-a873-000d3ae10139","6c2f5566-b2a7-e911-a873-000d3ae10139")</f>
        <v>6c2f5566-b2a7-e911-a873-000d3ae10139</v>
      </c>
      <c r="IL32" t="inlineStr">
        <is>
          <t>3226</t>
        </is>
      </c>
      <c r="IM32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32" t="inlineStr">
        <is>
          <t># HWORLD</t>
        </is>
      </c>
      <c r="IO32" t="inlineStr" s="6">
        <f>HYPERLINK("https://metagenicsd365.crm6.dynamics.com/main.aspx?etn=meta_segment&amp;pagetype=entityrecord&amp;id=44e3a56e-8030-eb11-a813-000d3ae15585","44e3a56e-8030-eb11-a813-000d3ae15585")</f>
        <v>44e3a56e-8030-eb11-a813-000d3ae15585</v>
      </c>
      <c r="IP32" t="inlineStr">
        <is>
          <t>10 - New accounts opened</t>
        </is>
      </c>
      <c r="IQ32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32" t="inlineStr">
        <is>
          <t>APH0</t>
        </is>
      </c>
      <c r="IZ32">
        <v>951850001</v>
      </c>
      <c r="JA32" t="inlineStr">
        <is>
          <t>Location</t>
        </is>
      </c>
      <c r="JE32" t="b">
        <v>0</v>
      </c>
      <c r="JF32" t="inlineStr">
        <is>
          <t>No</t>
        </is>
      </c>
      <c r="JT32">
        <v>951850001</v>
      </c>
      <c r="JU32" t="inlineStr">
        <is>
          <t>EXP - Standard Shipping</t>
        </is>
      </c>
      <c r="JY32" t="inlineStr" s="6">
        <f>HYPERLINK("https://metagenicsd365.crm6.dynamics.com/main.aspx?etn=meta_suburb&amp;pagetype=entityrecord&amp;id=2dbb9095-b3a7-e911-a862-000d3ae10c61","2dbb9095-b3a7-e911-a862-000d3ae10c61")</f>
        <v>2dbb9095-b3a7-e911-a862-000d3ae10c61</v>
      </c>
      <c r="JZ32" t="inlineStr">
        <is>
          <t>OCEAN GROVE</t>
        </is>
      </c>
      <c r="KB32">
        <v>0.0000</v>
      </c>
      <c r="KC32">
        <v>0.0000</v>
      </c>
      <c r="KD32" s="3">
        <v>46122.659502314818</v>
      </c>
      <c r="KE32">
        <v>1</v>
      </c>
      <c r="KF32">
        <v>0.0000</v>
      </c>
      <c r="KG32">
        <v>0.0000</v>
      </c>
      <c r="KH32" s="3">
        <v>46122.659502314818</v>
      </c>
      <c r="KI32">
        <v>1</v>
      </c>
      <c r="KJ32">
        <v>0.0000</v>
      </c>
      <c r="KK32">
        <v>0.0000</v>
      </c>
      <c r="KL32" s="3">
        <v>46122.659502314818</v>
      </c>
      <c r="KM32">
        <v>1</v>
      </c>
      <c r="KN32" t="b">
        <v>0</v>
      </c>
      <c r="KO32" t="inlineStr">
        <is>
          <t>No</t>
        </is>
      </c>
      <c r="KP32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32" t="inlineStr">
        <is>
          <t>Sriganesh Subramanian</t>
        </is>
      </c>
      <c r="KT32" s="3">
        <v>46086.462037037039</v>
      </c>
      <c r="LA32" t="b">
        <v>0</v>
      </c>
      <c r="LB32" t="inlineStr">
        <is>
          <t>No</t>
        </is>
      </c>
      <c r="LH32" t="inlineStr">
        <is>
          <t>DR ANDREW HORWOOD</t>
        </is>
      </c>
      <c r="LO32">
        <v>0</v>
      </c>
      <c r="LP32" s="3">
        <v>46122.659502314818</v>
      </c>
      <c r="LQ32">
        <v>1</v>
      </c>
      <c r="LR32">
        <v>0.0000</v>
      </c>
      <c r="LS32">
        <v>0.0000</v>
      </c>
      <c r="LT32" s="3">
        <v>46122.659502314818</v>
      </c>
      <c r="LU32">
        <v>1</v>
      </c>
      <c r="LY32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32" t="inlineStr">
        <is>
          <t>Australia</t>
        </is>
      </c>
      <c r="MA32" t="inlineStr">
        <is>
          <t>team</t>
        </is>
      </c>
      <c r="MD32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32" t="inlineStr">
        <is>
          <t>Australia</t>
        </is>
      </c>
      <c r="MF32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J32" t="inlineStr" s="6">
        <f>HYPERLINK("https://metagenicsd365.crm6.dynamics.com/main.aspx?etn=account&amp;pagetype=entityrecord&amp;id=adf79727-85a7-e911-a875-000d3ae104e7","adf79727-85a7-e911-a875-000d3ae104e7")</f>
        <v>adf79727-85a7-e911-a875-000d3ae104e7</v>
      </c>
      <c r="MK32" t="inlineStr">
        <is>
          <t>DR ANDREW HORWOOD</t>
        </is>
      </c>
      <c r="ML32" t="b">
        <v>0</v>
      </c>
      <c r="MM32" t="inlineStr">
        <is>
          <t>No</t>
        </is>
      </c>
      <c r="MT32">
        <v>1</v>
      </c>
      <c r="MU32" t="inlineStr">
        <is>
          <t>Any</t>
        </is>
      </c>
      <c r="NJ32">
        <v>1</v>
      </c>
      <c r="NK32" t="inlineStr">
        <is>
          <t>Airborne</t>
        </is>
      </c>
      <c r="NR32">
        <v>0</v>
      </c>
      <c r="NS32" t="inlineStr">
        <is>
          <t>Active</t>
        </is>
      </c>
      <c r="NT32">
        <v>1</v>
      </c>
      <c r="NU32" t="inlineStr">
        <is>
          <t>Active</t>
        </is>
      </c>
      <c r="NY32" t="inlineStr">
        <is>
          <t>0419 337 646</t>
        </is>
      </c>
      <c r="OA32">
        <v>1</v>
      </c>
      <c r="OB32" t="inlineStr">
        <is>
          <t>Default Value</t>
        </is>
      </c>
      <c r="OG32">
        <v>0</v>
      </c>
      <c r="OH32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32" t="inlineStr">
        <is>
          <t>Australian Dollar</t>
        </is>
      </c>
      <c r="OL32" t="inlineStr">
        <is>
          <t>0x000000003D837E8D</t>
        </is>
      </c>
    </row>
    <row r="33">
      <c r="C33">
        <v>1</v>
      </c>
      <c r="D33" t="inlineStr">
        <is>
          <t>Default Value</t>
        </is>
      </c>
      <c r="E33" t="inlineStr" s="6">
        <f>HYPERLINK("https://metagenicsd365.crm6.dynamics.com/main.aspx?etn=account&amp;pagetype=entityrecord&amp;id=1a1cd42f-c15a-ef11-bfe3-000d3a793080","1a1cd42f-c15a-ef11-bfe3-000d3a793080")</f>
        <v>1a1cd42f-c15a-ef11-bfe3-000d3a793080</v>
      </c>
      <c r="F33" t="inlineStr">
        <is>
          <t>000001060971</t>
        </is>
      </c>
      <c r="G33">
        <v>1</v>
      </c>
      <c r="H33" t="inlineStr">
        <is>
          <t>Default Value</t>
        </is>
      </c>
      <c r="I33" t="inlineStr" s="6">
        <f>HYPERLINK("https://metagenicsd365.crm6.dynamics.com/main.aspx?etn=account&amp;pagetype=entityrecord&amp;id=4be145a2-8453-4cbc-ade0-ac4e8525b855","4be145a2-8453-4cbc-ade0-ac4e8525b855")</f>
        <v>4be145a2-8453-4cbc-ade0-ac4e8525b855</v>
      </c>
      <c r="L33" t="inlineStr">
        <is>
          <t>/meta_suburbs(3743a323-b4a7-e911-a873-000d3ae10cf1)</t>
        </is>
      </c>
      <c r="M33" t="inlineStr">
        <is>
          <t>444 MASONS ROAD
/meta_suburbs(3743a323-b4a7-e911-a873-000d3ae10cf1), VIC</t>
        </is>
      </c>
      <c r="T33" t="inlineStr">
        <is>
          <t>444 MASONS ROAD</t>
        </is>
      </c>
      <c r="AD33" t="inlineStr">
        <is>
          <t>VIC</t>
        </is>
      </c>
      <c r="AE33" t="inlineStr">
        <is>
          <t>0437 386 573</t>
        </is>
      </c>
      <c r="AJ33" t="inlineStr" s="6">
        <f>HYPERLINK("https://metagenicsd365.crm6.dynamics.com/main.aspx?etn=account&amp;pagetype=entityrecord&amp;id=e55f0ecd-7fba-4484-b98c-8505bf5147a3","e55f0ecd-7fba-4484-b98c-8505bf5147a3")</f>
        <v>e55f0ecd-7fba-4484-b98c-8505bf5147a3</v>
      </c>
      <c r="AK33">
        <v>1</v>
      </c>
      <c r="AL33" t="inlineStr">
        <is>
          <t>Default Value</t>
        </is>
      </c>
      <c r="AM33" t="inlineStr">
        <is>
          <t>/meta_suburbs(3743a323-b4a7-e911-a873-000d3ae10cf1)</t>
        </is>
      </c>
      <c r="AN33" t="inlineStr">
        <is>
          <t>444 MASONS ROAD
/meta_suburbs(3743a323-b4a7-e911-a873-000d3ae10cf1), VIC</t>
        </is>
      </c>
      <c r="AR33">
        <v>1</v>
      </c>
      <c r="AS33" t="inlineStr">
        <is>
          <t>Default Value</t>
        </is>
      </c>
      <c r="AU33" t="inlineStr">
        <is>
          <t>444 MASONS ROAD</t>
        </is>
      </c>
      <c r="BC33">
        <v>1</v>
      </c>
      <c r="BD33" t="inlineStr">
        <is>
          <t>Default Value</t>
        </is>
      </c>
      <c r="BE33" t="inlineStr">
        <is>
          <t>VIC</t>
        </is>
      </c>
      <c r="BU33">
        <v>1</v>
      </c>
      <c r="BV33" t="inlineStr">
        <is>
          <t>Default Value</t>
        </is>
      </c>
      <c r="BY33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33" t="inlineStr">
        <is>
          <t>SVC_D365_CE #</t>
        </is>
      </c>
      <c r="CC33" s="3">
        <v>45519.198217592595</v>
      </c>
      <c r="CH33" t="b">
        <v>0</v>
      </c>
      <c r="CI33" t="inlineStr">
        <is>
          <t>No</t>
        </is>
      </c>
      <c r="CJ33">
        <v>1</v>
      </c>
      <c r="CK33" t="inlineStr">
        <is>
          <t>Default Value</t>
        </is>
      </c>
      <c r="CN33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33" t="inlineStr">
        <is>
          <t>All Products Australia</t>
        </is>
      </c>
      <c r="CQ33" t="b">
        <v>0</v>
      </c>
      <c r="CR33" t="inlineStr">
        <is>
          <t>Allow</t>
        </is>
      </c>
      <c r="CS33" t="b">
        <v>0</v>
      </c>
      <c r="CT33" t="inlineStr">
        <is>
          <t>No</t>
        </is>
      </c>
      <c r="CU33" t="b">
        <v>0</v>
      </c>
      <c r="CV33" t="inlineStr">
        <is>
          <t>Allow</t>
        </is>
      </c>
      <c r="CW33" t="b">
        <v>0</v>
      </c>
      <c r="CX33" t="inlineStr">
        <is>
          <t>Allow</t>
        </is>
      </c>
      <c r="CY33" t="b">
        <v>0</v>
      </c>
      <c r="CZ33" t="inlineStr">
        <is>
          <t>Allow</t>
        </is>
      </c>
      <c r="DA33" t="b">
        <v>0</v>
      </c>
      <c r="DB33" t="inlineStr">
        <is>
          <t>Allow</t>
        </is>
      </c>
      <c r="DC33" t="b">
        <v>0</v>
      </c>
      <c r="DD33" t="inlineStr">
        <is>
          <t>Send</t>
        </is>
      </c>
      <c r="DE33" t="inlineStr">
        <is>
          <t>insightmyo@bigpond.com</t>
        </is>
      </c>
      <c r="DF33" t="inlineStr">
        <is>
          <t>insightmyo@bigpond.com</t>
        </is>
      </c>
      <c r="DO33">
        <v>1.0000000000</v>
      </c>
      <c r="DQ33" t="b">
        <v>1</v>
      </c>
      <c r="DR33" t="inlineStr">
        <is>
          <t>Allow</t>
        </is>
      </c>
      <c r="EA33" t="b">
        <v>0</v>
      </c>
      <c r="EB33" t="inlineStr">
        <is>
          <t>No</t>
        </is>
      </c>
      <c r="EE33" t="b">
        <v>0</v>
      </c>
      <c r="EF33" t="inlineStr">
        <is>
          <t>No</t>
        </is>
      </c>
      <c r="EG33" t="inlineStr">
        <is>
          <t>No</t>
        </is>
      </c>
      <c r="EJ33" t="inlineStr">
        <is>
          <t>951850001</t>
        </is>
      </c>
      <c r="EK33" t="inlineStr">
        <is>
          <t>Practitioner</t>
        </is>
      </c>
      <c r="EL33" s="3">
        <v>45519.193136574075</v>
      </c>
      <c r="EM33" s="3">
        <v>93138.99998842593</v>
      </c>
      <c r="EN33" t="inlineStr">
        <is>
          <t>PRAC</t>
        </is>
      </c>
      <c r="EO33" t="b">
        <v>0</v>
      </c>
      <c r="EP33" t="inlineStr">
        <is>
          <t>No</t>
        </is>
      </c>
      <c r="EQ33" t="inlineStr">
        <is>
          <t>No</t>
        </is>
      </c>
      <c r="EU33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33" t="inlineStr">
        <is>
          <t>Australia</t>
        </is>
      </c>
      <c r="EW33">
        <v>951850003</v>
      </c>
      <c r="EX33" t="inlineStr">
        <is>
          <t>PRA01</t>
        </is>
      </c>
      <c r="EY33" t="inlineStr" s="6">
        <f>HYPERLINK("https://metagenicsd365.crm6.dynamics.com/main.aspx?etn=meta_postcode&amp;pagetype=entityrecord&amp;id=0ff6726f-b2a7-e911-a875-000d3ae104e7","0ff6726f-b2a7-e911-a875-000d3ae104e7")</f>
        <v>0ff6726f-b2a7-e911-a875-000d3ae104e7</v>
      </c>
      <c r="EZ33" t="inlineStr">
        <is>
          <t>3754</t>
        </is>
      </c>
      <c r="FA33" t="inlineStr" s="6">
        <f>HYPERLINK("https://metagenicsd365.crm6.dynamics.com/main.aspx?etn=meta_suburb&amp;pagetype=entityrecord&amp;id=3743a323-b4a7-e911-a873-000d3ae10cf1","3743a323-b4a7-e911-a873-000d3ae10cf1")</f>
        <v>3743a323-b4a7-e911-a873-000d3ae10cf1</v>
      </c>
      <c r="FB33" t="inlineStr">
        <is>
          <t>MERNDA</t>
        </is>
      </c>
      <c r="FC33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33" t="inlineStr">
        <is>
          <t>Australia</t>
        </is>
      </c>
      <c r="FE33" t="inlineStr">
        <is>
          <t>0000000000001060971</t>
        </is>
      </c>
      <c r="FM33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33" t="inlineStr">
        <is>
          <t>Australia</t>
        </is>
      </c>
      <c r="FO33" t="b">
        <v>1</v>
      </c>
      <c r="FP33" t="inlineStr">
        <is>
          <t>Yes</t>
        </is>
      </c>
      <c r="FQ33" t="inlineStr">
        <is>
          <t>PRACS</t>
        </is>
      </c>
      <c r="FW33" t="b">
        <v>0</v>
      </c>
      <c r="FX33" t="inlineStr">
        <is>
          <t>No</t>
        </is>
      </c>
      <c r="GA33" t="inlineStr">
        <is>
          <t>ABL10199320</t>
        </is>
      </c>
      <c r="GD33">
        <v>951850000</v>
      </c>
      <c r="GE33" t="inlineStr">
        <is>
          <t>Pending</t>
        </is>
      </c>
      <c r="GF33">
        <v>0.0000</v>
      </c>
      <c r="GG33">
        <v>0.0000</v>
      </c>
      <c r="GH33" s="3">
        <v>46122.659502314818</v>
      </c>
      <c r="GI33">
        <v>1</v>
      </c>
      <c r="GJ33" t="b">
        <v>1</v>
      </c>
      <c r="GK33" t="inlineStr">
        <is>
          <t>Yes</t>
        </is>
      </c>
      <c r="GO33" s="3">
        <v>46122.659502314818</v>
      </c>
      <c r="GR33" s="3">
        <v>46122.659502314818</v>
      </c>
      <c r="GU33" s="3">
        <v>46122.659502314818</v>
      </c>
      <c r="GY33" t="inlineStr">
        <is>
          <t>000001060971</t>
        </is>
      </c>
      <c r="HB33" t="inlineStr">
        <is>
          <t>BRUNELLA FOLINO</t>
        </is>
      </c>
      <c r="HI33">
        <v>0.0000</v>
      </c>
      <c r="HK33" s="3">
        <v>46122.659502314818</v>
      </c>
      <c r="HL33">
        <v>1</v>
      </c>
      <c r="HM33">
        <v>0.0000</v>
      </c>
      <c r="HO33" s="3">
        <v>46122.659502314818</v>
      </c>
      <c r="HP33">
        <v>1</v>
      </c>
      <c r="HX33" t="inlineStr" s="6">
        <f>HYPERLINK("https://metagenicsd365.crm6.dynamics.com/main.aspx?etn=meta_paymentterm&amp;pagetype=entityrecord&amp;id=31971c9d-38ba-eb11-8236-00224817f624","31971c9d-38ba-eb11-8236-00224817f624")</f>
        <v>31971c9d-38ba-eb11-8236-00224817f624</v>
      </c>
      <c r="HY33" t="inlineStr">
        <is>
          <t>Cash</t>
        </is>
      </c>
      <c r="IC33" t="inlineStr">
        <is>
          <t>VIC</t>
        </is>
      </c>
      <c r="ID33" t="inlineStr">
        <is>
          <t>444 MASONS ROAD</t>
        </is>
      </c>
      <c r="IE33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33" t="inlineStr">
        <is>
          <t>Australia</t>
        </is>
      </c>
      <c r="IG33" t="inlineStr" s="6">
        <f>HYPERLINK("https://metagenicsd365.crm6.dynamics.com/main.aspx?etn=meta_postcode&amp;pagetype=entityrecord&amp;id=0ff6726f-b2a7-e911-a875-000d3ae104e7","0ff6726f-b2a7-e911-a875-000d3ae104e7")</f>
        <v>0ff6726f-b2a7-e911-a875-000d3ae104e7</v>
      </c>
      <c r="IH33" t="inlineStr">
        <is>
          <t>3754</t>
        </is>
      </c>
      <c r="II33" t="inlineStr" s="6">
        <f>HYPERLINK("https://metagenicsd365.crm6.dynamics.com/main.aspx?etn=meta_suburb&amp;pagetype=entityrecord&amp;id=3743a323-b4a7-e911-a873-000d3ae10cf1","3743a323-b4a7-e911-a873-000d3ae10cf1")</f>
        <v>3743a323-b4a7-e911-a873-000d3ae10cf1</v>
      </c>
      <c r="IJ33" t="inlineStr">
        <is>
          <t>MERNDA</t>
        </is>
      </c>
      <c r="IK33" t="inlineStr" s="6">
        <f>HYPERLINK("https://metagenicsd365.crm6.dynamics.com/main.aspx?etn=meta_postcode&amp;pagetype=entityrecord&amp;id=0ff6726f-b2a7-e911-a875-000d3ae104e7","0ff6726f-b2a7-e911-a875-000d3ae104e7")</f>
        <v>0ff6726f-b2a7-e911-a875-000d3ae104e7</v>
      </c>
      <c r="IL33" t="inlineStr">
        <is>
          <t>3754</t>
        </is>
      </c>
      <c r="IM33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33" t="inlineStr">
        <is>
          <t># HWORLD</t>
        </is>
      </c>
      <c r="IO33" t="inlineStr" s="6">
        <f>HYPERLINK("https://metagenicsd365.crm6.dynamics.com/main.aspx?etn=meta_segment&amp;pagetype=entityrecord&amp;id=44e3a56e-8030-eb11-a813-000d3ae15585","44e3a56e-8030-eb11-a813-000d3ae15585")</f>
        <v>44e3a56e-8030-eb11-a813-000d3ae15585</v>
      </c>
      <c r="IP33" t="inlineStr">
        <is>
          <t>10 - New accounts opened</t>
        </is>
      </c>
      <c r="IQ33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33" t="inlineStr">
        <is>
          <t>APH0</t>
        </is>
      </c>
      <c r="IZ33">
        <v>951850000</v>
      </c>
      <c r="JA33" t="inlineStr">
        <is>
          <t>Billing</t>
        </is>
      </c>
      <c r="JE33" t="b">
        <v>0</v>
      </c>
      <c r="JF33" t="inlineStr">
        <is>
          <t>No</t>
        </is>
      </c>
      <c r="JT33">
        <v>951850002</v>
      </c>
      <c r="JU33" t="inlineStr">
        <is>
          <t>PRM - Priority Shipping</t>
        </is>
      </c>
      <c r="JY33" t="inlineStr" s="6">
        <f>HYPERLINK("https://metagenicsd365.crm6.dynamics.com/main.aspx?etn=meta_suburb&amp;pagetype=entityrecord&amp;id=3743a323-b4a7-e911-a873-000d3ae10cf1","3743a323-b4a7-e911-a873-000d3ae10cf1")</f>
        <v>3743a323-b4a7-e911-a873-000d3ae10cf1</v>
      </c>
      <c r="JZ33" t="inlineStr">
        <is>
          <t>MERNDA</t>
        </is>
      </c>
      <c r="KB33">
        <v>0.0000</v>
      </c>
      <c r="KD33" s="3">
        <v>46122.659502314818</v>
      </c>
      <c r="KE33">
        <v>1</v>
      </c>
      <c r="KF33">
        <v>0.0000</v>
      </c>
      <c r="KH33" s="3">
        <v>46122.659502314818</v>
      </c>
      <c r="KI33">
        <v>1</v>
      </c>
      <c r="KJ33">
        <v>0.0000</v>
      </c>
      <c r="KL33" s="3">
        <v>46122.659502314818</v>
      </c>
      <c r="KM33">
        <v>1</v>
      </c>
      <c r="KN33" t="b">
        <v>0</v>
      </c>
      <c r="KO33" t="inlineStr">
        <is>
          <t>No</t>
        </is>
      </c>
      <c r="KP33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33" t="inlineStr">
        <is>
          <t>Sriganesh Subramanian</t>
        </is>
      </c>
      <c r="KT33" s="3">
        <v>46086.42125</v>
      </c>
      <c r="LA33" t="b">
        <v>0</v>
      </c>
      <c r="LB33" t="inlineStr">
        <is>
          <t>No</t>
        </is>
      </c>
      <c r="LH33" t="inlineStr">
        <is>
          <t>BRUNELLA FOLINO</t>
        </is>
      </c>
      <c r="LO33">
        <v>0</v>
      </c>
      <c r="LP33" s="3">
        <v>46122.659502314818</v>
      </c>
      <c r="LQ33">
        <v>1</v>
      </c>
      <c r="LR33">
        <v>0.0000</v>
      </c>
      <c r="LS33">
        <v>0.0000</v>
      </c>
      <c r="LT33" s="3">
        <v>46122.659502314818</v>
      </c>
      <c r="LU33">
        <v>1</v>
      </c>
      <c r="LY33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33" t="inlineStr">
        <is>
          <t>Australia</t>
        </is>
      </c>
      <c r="MA33" t="inlineStr">
        <is>
          <t>team</t>
        </is>
      </c>
      <c r="MD33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33" t="inlineStr">
        <is>
          <t>Australia</t>
        </is>
      </c>
      <c r="MF33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L33" t="b">
        <v>0</v>
      </c>
      <c r="MM33" t="inlineStr">
        <is>
          <t>No</t>
        </is>
      </c>
      <c r="MT33">
        <v>1</v>
      </c>
      <c r="MU33" t="inlineStr">
        <is>
          <t>Any</t>
        </is>
      </c>
      <c r="NB33" t="inlineStr" s="6">
        <f>HYPERLINK("https://metagenicsd365.crm6.dynamics.com/main.aspx?etn=contact&amp;pagetype=entityrecord&amp;id=7769632b-c15a-ef11-bfe3-0022481456ca","7769632b-c15a-ef11-bfe3-0022481456ca")</f>
        <v>7769632b-c15a-ef11-bfe3-0022481456ca</v>
      </c>
      <c r="NC33" t="inlineStr">
        <is>
          <t>BRUNELLA FOLINO PARAMEDIC</t>
        </is>
      </c>
      <c r="NJ33">
        <v>1</v>
      </c>
      <c r="NK33" t="inlineStr">
        <is>
          <t>Airborne</t>
        </is>
      </c>
      <c r="NR33">
        <v>0</v>
      </c>
      <c r="NS33" t="inlineStr">
        <is>
          <t>Active</t>
        </is>
      </c>
      <c r="NT33">
        <v>1</v>
      </c>
      <c r="NU33" t="inlineStr">
        <is>
          <t>Active</t>
        </is>
      </c>
      <c r="NX33" t="inlineStr">
        <is>
          <t>0437 386 573</t>
        </is>
      </c>
      <c r="NY33" t="inlineStr">
        <is>
          <t>0437 386 573</t>
        </is>
      </c>
      <c r="OA33">
        <v>1</v>
      </c>
      <c r="OB33" t="inlineStr">
        <is>
          <t>Default Value</t>
        </is>
      </c>
      <c r="OG33">
        <v>0</v>
      </c>
      <c r="OH33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33" t="inlineStr">
        <is>
          <t>Australian Dollar</t>
        </is>
      </c>
      <c r="OL33" t="inlineStr">
        <is>
          <t>0x000000003D82FA86</t>
        </is>
      </c>
    </row>
    <row r="34">
      <c r="C34">
        <v>1</v>
      </c>
      <c r="D34" t="inlineStr">
        <is>
          <t>Default Value</t>
        </is>
      </c>
      <c r="E34" t="inlineStr" s="6">
        <f>HYPERLINK("https://metagenicsd365.crm6.dynamics.com/main.aspx?etn=account&amp;pagetype=entityrecord&amp;id=01fc6f35-5c5b-ef11-bfe3-000d3a793080","01fc6f35-5c5b-ef11-bfe3-000d3a793080")</f>
        <v>01fc6f35-5c5b-ef11-bfe3-000d3a793080</v>
      </c>
      <c r="F34" t="inlineStr">
        <is>
          <t>000000071666</t>
        </is>
      </c>
      <c r="G34">
        <v>1</v>
      </c>
      <c r="H34" t="inlineStr">
        <is>
          <t>Default Value</t>
        </is>
      </c>
      <c r="I34" t="inlineStr" s="6">
        <f>HYPERLINK("https://metagenicsd365.crm6.dynamics.com/main.aspx?etn=account&amp;pagetype=entityrecord&amp;id=3d5e8ba7-d721-48d3-b6d9-dfd1abff85e8","3d5e8ba7-d721-48d3-b6d9-dfd1abff85e8")</f>
        <v>3d5e8ba7-d721-48d3-b6d9-dfd1abff85e8</v>
      </c>
      <c r="M34" t="inlineStr">
        <is>
          <t>54A Alexander Avenue
SA</t>
        </is>
      </c>
      <c r="T34" t="inlineStr">
        <is>
          <t>54A Alexander Avenue</t>
        </is>
      </c>
      <c r="AD34" t="inlineStr">
        <is>
          <t>SA</t>
        </is>
      </c>
      <c r="AE34" t="inlineStr">
        <is>
          <t>0409823892</t>
        </is>
      </c>
      <c r="AJ34" t="inlineStr" s="6">
        <f>HYPERLINK("https://metagenicsd365.crm6.dynamics.com/main.aspx?etn=account&amp;pagetype=entityrecord&amp;id=47afba91-8988-42e4-ae7b-22cc8bb112eb","47afba91-8988-42e4-ae7b-22cc8bb112eb")</f>
        <v>47afba91-8988-42e4-ae7b-22cc8bb112eb</v>
      </c>
      <c r="AK34">
        <v>1</v>
      </c>
      <c r="AL34" t="inlineStr">
        <is>
          <t>Default Value</t>
        </is>
      </c>
      <c r="AN34" t="inlineStr">
        <is>
          <t>122 GUMTREE DRIVE
SA</t>
        </is>
      </c>
      <c r="AR34">
        <v>1</v>
      </c>
      <c r="AS34" t="inlineStr">
        <is>
          <t>Default Value</t>
        </is>
      </c>
      <c r="AU34" t="inlineStr">
        <is>
          <t>122 GUMTREE DRIVE</t>
        </is>
      </c>
      <c r="BC34">
        <v>1</v>
      </c>
      <c r="BD34" t="inlineStr">
        <is>
          <t>Default Value</t>
        </is>
      </c>
      <c r="BE34" t="inlineStr">
        <is>
          <t>SA</t>
        </is>
      </c>
      <c r="BU34">
        <v>1</v>
      </c>
      <c r="BV34" t="inlineStr">
        <is>
          <t>Default Value</t>
        </is>
      </c>
      <c r="BY34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34" t="inlineStr">
        <is>
          <t>SVC_D365_CE #</t>
        </is>
      </c>
      <c r="CC34" s="3">
        <v>45519.968935185185</v>
      </c>
      <c r="CF34">
        <v>0.0000</v>
      </c>
      <c r="CG34">
        <v>0.0000</v>
      </c>
      <c r="CH34" t="b">
        <v>0</v>
      </c>
      <c r="CI34" t="inlineStr">
        <is>
          <t>No</t>
        </is>
      </c>
      <c r="CJ34">
        <v>1</v>
      </c>
      <c r="CK34" t="inlineStr">
        <is>
          <t>Default Value</t>
        </is>
      </c>
      <c r="CN34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34" t="inlineStr">
        <is>
          <t>All Products Australia</t>
        </is>
      </c>
      <c r="CQ34" t="b">
        <v>0</v>
      </c>
      <c r="CR34" t="inlineStr">
        <is>
          <t>Allow</t>
        </is>
      </c>
      <c r="CS34" t="b">
        <v>0</v>
      </c>
      <c r="CT34" t="inlineStr">
        <is>
          <t>No</t>
        </is>
      </c>
      <c r="CU34" t="b">
        <v>0</v>
      </c>
      <c r="CV34" t="inlineStr">
        <is>
          <t>Allow</t>
        </is>
      </c>
      <c r="CW34" t="b">
        <v>0</v>
      </c>
      <c r="CX34" t="inlineStr">
        <is>
          <t>Allow</t>
        </is>
      </c>
      <c r="CY34" t="b">
        <v>0</v>
      </c>
      <c r="CZ34" t="inlineStr">
        <is>
          <t>Allow</t>
        </is>
      </c>
      <c r="DA34" t="b">
        <v>0</v>
      </c>
      <c r="DB34" t="inlineStr">
        <is>
          <t>Allow</t>
        </is>
      </c>
      <c r="DC34" t="b">
        <v>0</v>
      </c>
      <c r="DD34" t="inlineStr">
        <is>
          <t>Send</t>
        </is>
      </c>
      <c r="DF34" t="inlineStr">
        <is>
          <t>michelleharrisnaturopath@outlook.com</t>
        </is>
      </c>
      <c r="DO34">
        <v>1.0000000000</v>
      </c>
      <c r="DQ34" t="b">
        <v>1</v>
      </c>
      <c r="DR34" t="inlineStr">
        <is>
          <t>Allow</t>
        </is>
      </c>
      <c r="EA34" t="b">
        <v>0</v>
      </c>
      <c r="EB34" t="inlineStr">
        <is>
          <t>No</t>
        </is>
      </c>
      <c r="EE34" t="b">
        <v>0</v>
      </c>
      <c r="EF34" t="inlineStr">
        <is>
          <t>No</t>
        </is>
      </c>
      <c r="EJ34" t="inlineStr">
        <is>
          <t>951850001</t>
        </is>
      </c>
      <c r="EK34" t="inlineStr">
        <is>
          <t>Practitioner</t>
        </is>
      </c>
      <c r="EL34" s="3">
        <v>45519.958055555559</v>
      </c>
      <c r="EM34" s="3">
        <v>93138.99998842593</v>
      </c>
      <c r="EO34" t="b">
        <v>1</v>
      </c>
      <c r="EP34" t="inlineStr">
        <is>
          <t>Yes</t>
        </is>
      </c>
      <c r="ES34" t="inlineStr" s="6">
        <f>HYPERLINK("https://metagenicsd365.crm6.dynamics.com/main.aspx?etn=account&amp;pagetype=entityrecord&amp;id=2b45b8fd-92a7-e911-a875-000d3ae104e7","2b45b8fd-92a7-e911-a875-000d3ae104e7")</f>
        <v>2b45b8fd-92a7-e911-a875-000d3ae104e7</v>
      </c>
      <c r="ET34" t="inlineStr">
        <is>
          <t>MICHELLE HARRIS (NATUROPATH SA)</t>
        </is>
      </c>
      <c r="EU34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34" t="inlineStr">
        <is>
          <t>Australia</t>
        </is>
      </c>
      <c r="EW34">
        <v>951850006</v>
      </c>
      <c r="EX34" t="inlineStr">
        <is>
          <t>PRA05</t>
        </is>
      </c>
      <c r="EY34" t="inlineStr" s="6">
        <f>HYPERLINK("https://metagenicsd365.crm6.dynamics.com/main.aspx?etn=meta_postcode&amp;pagetype=entityrecord&amp;id=05e8e95e-b2a7-e911-a862-000d3ae10c61","05e8e95e-b2a7-e911-a862-000d3ae10c61")</f>
        <v>05e8e95e-b2a7-e911-a862-000d3ae10c61</v>
      </c>
      <c r="EZ34" t="inlineStr">
        <is>
          <t>5250</t>
        </is>
      </c>
      <c r="FA34" t="inlineStr" s="6">
        <f>HYPERLINK("https://metagenicsd365.crm6.dynamics.com/main.aspx?etn=meta_suburb&amp;pagetype=entityrecord&amp;id=ee304128-b4a7-e911-a873-000d3ae10139","ee304128-b4a7-e911-a873-000d3ae10139")</f>
        <v>ee304128-b4a7-e911-a873-000d3ae10139</v>
      </c>
      <c r="FB34" t="inlineStr">
        <is>
          <t>LITTLEHAMPTON</t>
        </is>
      </c>
      <c r="FC34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34" t="inlineStr">
        <is>
          <t>Australia</t>
        </is>
      </c>
      <c r="FE34" t="inlineStr">
        <is>
          <t>0000000000000071666</t>
        </is>
      </c>
      <c r="FM34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34" t="inlineStr">
        <is>
          <t>Australia</t>
        </is>
      </c>
      <c r="FO34" t="b">
        <v>1</v>
      </c>
      <c r="FP34" t="inlineStr">
        <is>
          <t>Yes</t>
        </is>
      </c>
      <c r="FQ34" t="inlineStr">
        <is>
          <t>PRACS</t>
        </is>
      </c>
      <c r="FW34" t="b">
        <v>0</v>
      </c>
      <c r="FX34" t="inlineStr">
        <is>
          <t>No</t>
        </is>
      </c>
      <c r="GA34" t="inlineStr">
        <is>
          <t>ABL10208519</t>
        </is>
      </c>
      <c r="GD34">
        <v>951850000</v>
      </c>
      <c r="GE34" t="inlineStr">
        <is>
          <t>Pending</t>
        </is>
      </c>
      <c r="GF34">
        <v>0.0000</v>
      </c>
      <c r="GG34">
        <v>0.0000</v>
      </c>
      <c r="GH34" s="3">
        <v>46122.659502314818</v>
      </c>
      <c r="GI34">
        <v>1</v>
      </c>
      <c r="GJ34" t="b">
        <v>1</v>
      </c>
      <c r="GK34" t="inlineStr">
        <is>
          <t>Yes</t>
        </is>
      </c>
      <c r="GO34" s="3">
        <v>46122.659502314818</v>
      </c>
      <c r="GR34" s="3">
        <v>46122.659502314818</v>
      </c>
      <c r="GU34" s="3">
        <v>46122.659502314818</v>
      </c>
      <c r="GY34" t="inlineStr">
        <is>
          <t>000000071666</t>
        </is>
      </c>
      <c r="GZ34" t="inlineStr">
        <is>
          <t>ABL10208519</t>
        </is>
      </c>
      <c r="HB34" t="inlineStr">
        <is>
          <t>Chloe Pask</t>
        </is>
      </c>
      <c r="HI34">
        <v>0.0000</v>
      </c>
      <c r="HJ34">
        <v>0.0000</v>
      </c>
      <c r="HK34" s="3">
        <v>46122.659502314818</v>
      </c>
      <c r="HL34">
        <v>1</v>
      </c>
      <c r="HM34">
        <v>0.0000</v>
      </c>
      <c r="HN34">
        <v>0.0000</v>
      </c>
      <c r="HO34" s="3">
        <v>46122.659502314818</v>
      </c>
      <c r="HP34">
        <v>1</v>
      </c>
      <c r="HX34" t="inlineStr" s="6">
        <f>HYPERLINK("https://metagenicsd365.crm6.dynamics.com/main.aspx?etn=meta_paymentterm&amp;pagetype=entityrecord&amp;id=0768c959-38ba-eb11-8236-00224817f624","0768c959-38ba-eb11-8236-00224817f624")</f>
        <v>0768c959-38ba-eb11-8236-00224817f624</v>
      </c>
      <c r="HY34" t="inlineStr">
        <is>
          <t>Net 30 Days End of Month</t>
        </is>
      </c>
      <c r="IC34" t="inlineStr">
        <is>
          <t>SA</t>
        </is>
      </c>
      <c r="ID34" t="inlineStr">
        <is>
          <t>54A Alexander Avenue</t>
        </is>
      </c>
      <c r="IE34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34" t="inlineStr">
        <is>
          <t>Australia</t>
        </is>
      </c>
      <c r="IG34" t="inlineStr" s="6">
        <f>HYPERLINK("https://metagenicsd365.crm6.dynamics.com/main.aspx?etn=meta_postcode&amp;pagetype=entityrecord&amp;id=a7deb602-b2a7-e911-a862-000d3ae10c61","a7deb602-b2a7-e911-a862-000d3ae10c61")</f>
        <v>a7deb602-b2a7-e911-a862-000d3ae10c61</v>
      </c>
      <c r="IH34" t="inlineStr">
        <is>
          <t>5074</t>
        </is>
      </c>
      <c r="II34" t="inlineStr" s="6">
        <f>HYPERLINK("https://metagenicsd365.crm6.dynamics.com/main.aspx?etn=meta_suburb&amp;pagetype=entityrecord&amp;id=d18999f1-b3a7-e911-a873-000d3ae10cf1","d18999f1-b3a7-e911-a873-000d3ae10cf1")</f>
        <v>d18999f1-b3a7-e911-a873-000d3ae10cf1</v>
      </c>
      <c r="IJ34" t="inlineStr">
        <is>
          <t>CAMPBELLTOWN</t>
        </is>
      </c>
      <c r="IK34" t="inlineStr" s="6">
        <f>HYPERLINK("https://metagenicsd365.crm6.dynamics.com/main.aspx?etn=meta_postcode&amp;pagetype=entityrecord&amp;id=a7deb602-b2a7-e911-a862-000d3ae10c61","a7deb602-b2a7-e911-a862-000d3ae10c61")</f>
        <v>a7deb602-b2a7-e911-a862-000d3ae10c61</v>
      </c>
      <c r="IL34" t="inlineStr">
        <is>
          <t>5074</t>
        </is>
      </c>
      <c r="IM34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34" t="inlineStr">
        <is>
          <t># HWORLD</t>
        </is>
      </c>
      <c r="IO34" t="inlineStr" s="6">
        <f>HYPERLINK("https://metagenicsd365.crm6.dynamics.com/main.aspx?etn=meta_segment&amp;pagetype=entityrecord&amp;id=44e3a56e-8030-eb11-a813-000d3ae15585","44e3a56e-8030-eb11-a813-000d3ae15585")</f>
        <v>44e3a56e-8030-eb11-a813-000d3ae15585</v>
      </c>
      <c r="IP34" t="inlineStr">
        <is>
          <t>10 - New accounts opened</t>
        </is>
      </c>
      <c r="IQ34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34" t="inlineStr">
        <is>
          <t>APH0</t>
        </is>
      </c>
      <c r="IU34" t="b">
        <v>1</v>
      </c>
      <c r="IV34" t="inlineStr">
        <is>
          <t>Yes</t>
        </is>
      </c>
      <c r="IZ34">
        <v>951850001</v>
      </c>
      <c r="JA34" t="inlineStr">
        <is>
          <t>Location</t>
        </is>
      </c>
      <c r="JE34" t="b">
        <v>0</v>
      </c>
      <c r="JF34" t="inlineStr">
        <is>
          <t>No</t>
        </is>
      </c>
      <c r="JT34">
        <v>951850001</v>
      </c>
      <c r="JU34" t="inlineStr">
        <is>
          <t>EXP - Standard Shipping</t>
        </is>
      </c>
      <c r="JY34" t="inlineStr" s="6">
        <f>HYPERLINK("https://metagenicsd365.crm6.dynamics.com/main.aspx?etn=meta_suburb&amp;pagetype=entityrecord&amp;id=d18999f1-b3a7-e911-a873-000d3ae10cf1","d18999f1-b3a7-e911-a873-000d3ae10cf1")</f>
        <v>d18999f1-b3a7-e911-a873-000d3ae10cf1</v>
      </c>
      <c r="JZ34" t="inlineStr">
        <is>
          <t>CAMPBELLTOWN</t>
        </is>
      </c>
      <c r="KB34">
        <v>0.0000</v>
      </c>
      <c r="KC34">
        <v>0.0000</v>
      </c>
      <c r="KD34" s="3">
        <v>46122.659502314818</v>
      </c>
      <c r="KE34">
        <v>1</v>
      </c>
      <c r="KF34">
        <v>0.0000</v>
      </c>
      <c r="KG34">
        <v>0.0000</v>
      </c>
      <c r="KH34" s="3">
        <v>46122.659502314818</v>
      </c>
      <c r="KI34">
        <v>1</v>
      </c>
      <c r="KJ34">
        <v>0.0000</v>
      </c>
      <c r="KK34">
        <v>0.0000</v>
      </c>
      <c r="KL34" s="3">
        <v>46122.659502314818</v>
      </c>
      <c r="KM34">
        <v>1</v>
      </c>
      <c r="KN34" t="b">
        <v>0</v>
      </c>
      <c r="KO34" t="inlineStr">
        <is>
          <t>No</t>
        </is>
      </c>
      <c r="KP34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34" t="inlineStr">
        <is>
          <t>Sriganesh Subramanian</t>
        </is>
      </c>
      <c r="KT34" s="3">
        <v>46086.460185185184</v>
      </c>
      <c r="LA34" t="b">
        <v>0</v>
      </c>
      <c r="LB34" t="inlineStr">
        <is>
          <t>No</t>
        </is>
      </c>
      <c r="LH34" t="inlineStr">
        <is>
          <t>Chloe Pask</t>
        </is>
      </c>
      <c r="LO34">
        <v>0</v>
      </c>
      <c r="LP34" s="3">
        <v>46122.659502314818</v>
      </c>
      <c r="LQ34">
        <v>1</v>
      </c>
      <c r="LR34">
        <v>0.0000</v>
      </c>
      <c r="LS34">
        <v>0.0000</v>
      </c>
      <c r="LT34" s="3">
        <v>46122.659502314818</v>
      </c>
      <c r="LU34">
        <v>1</v>
      </c>
      <c r="LY34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34" t="inlineStr">
        <is>
          <t>Australia</t>
        </is>
      </c>
      <c r="MA34" t="inlineStr">
        <is>
          <t>team</t>
        </is>
      </c>
      <c r="MD34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34" t="inlineStr">
        <is>
          <t>Australia</t>
        </is>
      </c>
      <c r="MF34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J34" t="inlineStr" s="6">
        <f>HYPERLINK("https://metagenicsd365.crm6.dynamics.com/main.aspx?etn=account&amp;pagetype=entityrecord&amp;id=2b45b8fd-92a7-e911-a875-000d3ae104e7","2b45b8fd-92a7-e911-a875-000d3ae104e7")</f>
        <v>2b45b8fd-92a7-e911-a875-000d3ae104e7</v>
      </c>
      <c r="MK34" t="inlineStr">
        <is>
          <t>MICHELLE HARRIS (NATUROPATH SA)</t>
        </is>
      </c>
      <c r="ML34" t="b">
        <v>0</v>
      </c>
      <c r="MM34" t="inlineStr">
        <is>
          <t>No</t>
        </is>
      </c>
      <c r="MT34">
        <v>1</v>
      </c>
      <c r="MU34" t="inlineStr">
        <is>
          <t>Any</t>
        </is>
      </c>
      <c r="NJ34">
        <v>1</v>
      </c>
      <c r="NK34" t="inlineStr">
        <is>
          <t>Airborne</t>
        </is>
      </c>
      <c r="NR34">
        <v>0</v>
      </c>
      <c r="NS34" t="inlineStr">
        <is>
          <t>Active</t>
        </is>
      </c>
      <c r="NT34">
        <v>1</v>
      </c>
      <c r="NU34" t="inlineStr">
        <is>
          <t>Active</t>
        </is>
      </c>
      <c r="NX34" t="inlineStr">
        <is>
          <t>0409823892</t>
        </is>
      </c>
      <c r="NY34" t="inlineStr">
        <is>
          <t>0437 951 352</t>
        </is>
      </c>
      <c r="NZ34" t="inlineStr">
        <is>
          <t>0429 635 387</t>
        </is>
      </c>
      <c r="OA34">
        <v>1</v>
      </c>
      <c r="OB34" t="inlineStr">
        <is>
          <t>Default Value</t>
        </is>
      </c>
      <c r="OG34">
        <v>0</v>
      </c>
      <c r="OH34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34" t="inlineStr">
        <is>
          <t>Australian Dollar</t>
        </is>
      </c>
      <c r="OL34" t="inlineStr">
        <is>
          <t>0x000000003D83785E</t>
        </is>
      </c>
    </row>
    <row r="35">
      <c r="C35">
        <v>1</v>
      </c>
      <c r="D35" t="inlineStr">
        <is>
          <t>Default Value</t>
        </is>
      </c>
      <c r="E35" t="inlineStr" s="6">
        <f>HYPERLINK("https://metagenicsd365.crm6.dynamics.com/main.aspx?etn=account&amp;pagetype=entityrecord&amp;id=880caccc-945b-ef11-bfe3-000d3a793080","880caccc-945b-ef11-bfe3-000d3a793080")</f>
        <v>880caccc-945b-ef11-bfe3-000d3a793080</v>
      </c>
      <c r="F35" t="inlineStr">
        <is>
          <t>000000075213</t>
        </is>
      </c>
      <c r="G35">
        <v>1</v>
      </c>
      <c r="H35" t="inlineStr">
        <is>
          <t>Default Value</t>
        </is>
      </c>
      <c r="I35" t="inlineStr" s="6">
        <f>HYPERLINK("https://metagenicsd365.crm6.dynamics.com/main.aspx?etn=account&amp;pagetype=entityrecord&amp;id=ceeafa09-d1d6-44e2-bba1-97d7ae205d2b","ceeafa09-d1d6-44e2-bba1-97d7ae205d2b")</f>
        <v>ceeafa09-d1d6-44e2-bba1-97d7ae205d2b</v>
      </c>
      <c r="M35" t="inlineStr">
        <is>
          <t>254 ROSEWOOD ROAD
NSW</t>
        </is>
      </c>
      <c r="T35" t="inlineStr">
        <is>
          <t>254 ROSEWOOD ROAD</t>
        </is>
      </c>
      <c r="AD35" t="inlineStr">
        <is>
          <t>NSW</t>
        </is>
      </c>
      <c r="AE35" t="inlineStr">
        <is>
          <t>TBA</t>
        </is>
      </c>
      <c r="AJ35" t="inlineStr" s="6">
        <f>HYPERLINK("https://metagenicsd365.crm6.dynamics.com/main.aspx?etn=account&amp;pagetype=entityrecord&amp;id=12cf2ffa-b6b4-44d6-8011-bac563487060","12cf2ffa-b6b4-44d6-8011-bac563487060")</f>
        <v>12cf2ffa-b6b4-44d6-8011-bac563487060</v>
      </c>
      <c r="AK35">
        <v>1</v>
      </c>
      <c r="AL35" t="inlineStr">
        <is>
          <t>Default Value</t>
        </is>
      </c>
      <c r="AN35" t="inlineStr">
        <is>
          <t>PO BOX 3087
NSW</t>
        </is>
      </c>
      <c r="AR35">
        <v>1</v>
      </c>
      <c r="AS35" t="inlineStr">
        <is>
          <t>Default Value</t>
        </is>
      </c>
      <c r="AU35" t="inlineStr">
        <is>
          <t>PO BOX 3087</t>
        </is>
      </c>
      <c r="BC35">
        <v>1</v>
      </c>
      <c r="BD35" t="inlineStr">
        <is>
          <t>Default Value</t>
        </is>
      </c>
      <c r="BE35" t="inlineStr">
        <is>
          <t>NSW</t>
        </is>
      </c>
      <c r="BU35">
        <v>1</v>
      </c>
      <c r="BV35" t="inlineStr">
        <is>
          <t>Default Value</t>
        </is>
      </c>
      <c r="BY35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35" t="inlineStr">
        <is>
          <t>SVC_D365_CE #</t>
        </is>
      </c>
      <c r="CC35" s="3">
        <v>45520.250254629631</v>
      </c>
      <c r="CF35">
        <v>0.0000</v>
      </c>
      <c r="CG35">
        <v>0.0000</v>
      </c>
      <c r="CH35" t="b">
        <v>0</v>
      </c>
      <c r="CI35" t="inlineStr">
        <is>
          <t>No</t>
        </is>
      </c>
      <c r="CJ35">
        <v>1</v>
      </c>
      <c r="CK35" t="inlineStr">
        <is>
          <t>Default Value</t>
        </is>
      </c>
      <c r="CN35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35" t="inlineStr">
        <is>
          <t>All Products Australia</t>
        </is>
      </c>
      <c r="CQ35" t="b">
        <v>0</v>
      </c>
      <c r="CR35" t="inlineStr">
        <is>
          <t>Allow</t>
        </is>
      </c>
      <c r="CS35" t="b">
        <v>0</v>
      </c>
      <c r="CT35" t="inlineStr">
        <is>
          <t>No</t>
        </is>
      </c>
      <c r="CU35" t="b">
        <v>0</v>
      </c>
      <c r="CV35" t="inlineStr">
        <is>
          <t>Allow</t>
        </is>
      </c>
      <c r="CW35" t="b">
        <v>0</v>
      </c>
      <c r="CX35" t="inlineStr">
        <is>
          <t>Allow</t>
        </is>
      </c>
      <c r="CY35" t="b">
        <v>0</v>
      </c>
      <c r="CZ35" t="inlineStr">
        <is>
          <t>Allow</t>
        </is>
      </c>
      <c r="DA35" t="b">
        <v>0</v>
      </c>
      <c r="DB35" t="inlineStr">
        <is>
          <t>Allow</t>
        </is>
      </c>
      <c r="DC35" t="b">
        <v>0</v>
      </c>
      <c r="DD35" t="inlineStr">
        <is>
          <t>Send</t>
        </is>
      </c>
      <c r="DF35" t="inlineStr">
        <is>
          <t>leoni777144@gmail.com</t>
        </is>
      </c>
      <c r="DO35">
        <v>1.0000000000</v>
      </c>
      <c r="DQ35" t="b">
        <v>1</v>
      </c>
      <c r="DR35" t="inlineStr">
        <is>
          <t>Allow</t>
        </is>
      </c>
      <c r="EA35" t="b">
        <v>0</v>
      </c>
      <c r="EB35" t="inlineStr">
        <is>
          <t>No</t>
        </is>
      </c>
      <c r="EE35" t="b">
        <v>0</v>
      </c>
      <c r="EF35" t="inlineStr">
        <is>
          <t>No</t>
        </is>
      </c>
      <c r="EJ35" t="inlineStr">
        <is>
          <t>951850001</t>
        </is>
      </c>
      <c r="EK35" t="inlineStr">
        <is>
          <t>Practitioner</t>
        </is>
      </c>
      <c r="EL35" s="3">
        <v>45520.247800925928</v>
      </c>
      <c r="EM35" s="3">
        <v>93138.99998842593</v>
      </c>
      <c r="EO35" t="b">
        <v>1</v>
      </c>
      <c r="EP35" t="inlineStr">
        <is>
          <t>Yes</t>
        </is>
      </c>
      <c r="ES35" t="inlineStr" s="6">
        <f>HYPERLINK("https://metagenicsd365.crm6.dynamics.com/main.aspx?etn=account&amp;pagetype=entityrecord&amp;id=1973c78b-95a7-e911-a862-000d3ae10c61","1973c78b-95a7-e911-a862-000d3ae10c61")</f>
        <v>1973c78b-95a7-e911-a862-000d3ae10c61</v>
      </c>
      <c r="ET35" t="inlineStr">
        <is>
          <t>LEONI GARDNER</t>
        </is>
      </c>
      <c r="EU35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35" t="inlineStr">
        <is>
          <t>Australia</t>
        </is>
      </c>
      <c r="EW35">
        <v>951850018</v>
      </c>
      <c r="EX35" t="inlineStr">
        <is>
          <t>PRA03</t>
        </is>
      </c>
      <c r="EY35" t="inlineStr" s="6">
        <f>HYPERLINK("https://metagenicsd365.crm6.dynamics.com/main.aspx?etn=meta_postcode&amp;pagetype=entityrecord&amp;id=9f1b8f3f-b2a7-e911-a873-000d3ae10cf1","9f1b8f3f-b2a7-e911-a873-000d3ae10cf1")</f>
        <v>9f1b8f3f-b2a7-e911-a873-000d3ae10cf1</v>
      </c>
      <c r="EZ35" t="inlineStr">
        <is>
          <t>2440</t>
        </is>
      </c>
      <c r="FA35" t="inlineStr" s="6">
        <f>HYPERLINK("https://metagenicsd365.crm6.dynamics.com/main.aspx?etn=meta_suburb&amp;pagetype=entityrecord&amp;id=c484c3b6-b3a7-e911-a886-000d3ae106b8","c484c3b6-b3a7-e911-a886-000d3ae106b8")</f>
        <v>c484c3b6-b3a7-e911-a886-000d3ae106b8</v>
      </c>
      <c r="FB35" t="inlineStr">
        <is>
          <t>WEST KEMPSEY</t>
        </is>
      </c>
      <c r="FC35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35" t="inlineStr">
        <is>
          <t>Australia</t>
        </is>
      </c>
      <c r="FE35" t="inlineStr">
        <is>
          <t>0000000000000075213</t>
        </is>
      </c>
      <c r="FM35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35" t="inlineStr">
        <is>
          <t>Australia</t>
        </is>
      </c>
      <c r="FO35" t="b">
        <v>1</v>
      </c>
      <c r="FP35" t="inlineStr">
        <is>
          <t>Yes</t>
        </is>
      </c>
      <c r="FQ35" t="inlineStr">
        <is>
          <t>PRACS</t>
        </is>
      </c>
      <c r="FW35" t="b">
        <v>0</v>
      </c>
      <c r="FX35" t="inlineStr">
        <is>
          <t>No</t>
        </is>
      </c>
      <c r="GA35" t="inlineStr">
        <is>
          <t>ABL10210390</t>
        </is>
      </c>
      <c r="GD35">
        <v>951850000</v>
      </c>
      <c r="GE35" t="inlineStr">
        <is>
          <t>Pending</t>
        </is>
      </c>
      <c r="GF35">
        <v>0.0000</v>
      </c>
      <c r="GG35">
        <v>0.0000</v>
      </c>
      <c r="GH35" s="3">
        <v>46122.659502314818</v>
      </c>
      <c r="GI35">
        <v>1</v>
      </c>
      <c r="GJ35" t="b">
        <v>1</v>
      </c>
      <c r="GK35" t="inlineStr">
        <is>
          <t>Yes</t>
        </is>
      </c>
      <c r="GO35" s="3">
        <v>46122.659502314818</v>
      </c>
      <c r="GR35" s="3">
        <v>46122.659502314818</v>
      </c>
      <c r="GU35" s="3">
        <v>46122.659502314818</v>
      </c>
      <c r="GY35" t="inlineStr">
        <is>
          <t>000000075213</t>
        </is>
      </c>
      <c r="GZ35" t="inlineStr">
        <is>
          <t>ABL10210390</t>
        </is>
      </c>
      <c r="HB35" t="inlineStr">
        <is>
          <t>ELIZABETH BIBBY</t>
        </is>
      </c>
      <c r="HI35">
        <v>0.0000</v>
      </c>
      <c r="HJ35">
        <v>0.0000</v>
      </c>
      <c r="HK35" s="3">
        <v>46122.659502314818</v>
      </c>
      <c r="HL35">
        <v>1</v>
      </c>
      <c r="HM35">
        <v>0.0000</v>
      </c>
      <c r="HN35">
        <v>0.0000</v>
      </c>
      <c r="HO35" s="3">
        <v>46122.659502314818</v>
      </c>
      <c r="HP35">
        <v>1</v>
      </c>
      <c r="HX35" t="inlineStr" s="6">
        <f>HYPERLINK("https://metagenicsd365.crm6.dynamics.com/main.aspx?etn=meta_paymentterm&amp;pagetype=entityrecord&amp;id=0768c959-38ba-eb11-8236-00224817f624","0768c959-38ba-eb11-8236-00224817f624")</f>
        <v>0768c959-38ba-eb11-8236-00224817f624</v>
      </c>
      <c r="HY35" t="inlineStr">
        <is>
          <t>Net 30 Days End of Month</t>
        </is>
      </c>
      <c r="IC35" t="inlineStr">
        <is>
          <t>NSW</t>
        </is>
      </c>
      <c r="ID35" t="inlineStr">
        <is>
          <t>254 ROSEWOOD ROAD</t>
        </is>
      </c>
      <c r="IE35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35" t="inlineStr">
        <is>
          <t>Australia</t>
        </is>
      </c>
      <c r="IG35" t="inlineStr" s="6">
        <f>HYPERLINK("https://metagenicsd365.crm6.dynamics.com/main.aspx?etn=meta_postcode&amp;pagetype=entityrecord&amp;id=928be356-b2a7-e911-a875-000d3ae104e7","928be356-b2a7-e911-a875-000d3ae104e7")</f>
        <v>928be356-b2a7-e911-a875-000d3ae104e7</v>
      </c>
      <c r="IH35" t="inlineStr">
        <is>
          <t>2447</t>
        </is>
      </c>
      <c r="II35" t="inlineStr" s="6">
        <f>HYPERLINK("https://metagenicsd365.crm6.dynamics.com/main.aspx?etn=meta_suburb&amp;pagetype=entityrecord&amp;id=1decbf15-b4a7-e911-a873-000d3ae10139","1decbf15-b4a7-e911-a873-000d3ae10139")</f>
        <v>1decbf15-b4a7-e911-a873-000d3ae10139</v>
      </c>
      <c r="IJ35" t="inlineStr">
        <is>
          <t>WARRELL CREEK</t>
        </is>
      </c>
      <c r="IK35" t="inlineStr" s="6">
        <f>HYPERLINK("https://metagenicsd365.crm6.dynamics.com/main.aspx?etn=meta_postcode&amp;pagetype=entityrecord&amp;id=928be356-b2a7-e911-a875-000d3ae104e7","928be356-b2a7-e911-a875-000d3ae104e7")</f>
        <v>928be356-b2a7-e911-a875-000d3ae104e7</v>
      </c>
      <c r="IL35" t="inlineStr">
        <is>
          <t>2447</t>
        </is>
      </c>
      <c r="IM35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35" t="inlineStr">
        <is>
          <t># HWORLD</t>
        </is>
      </c>
      <c r="IO35" t="inlineStr" s="6">
        <f>HYPERLINK("https://metagenicsd365.crm6.dynamics.com/main.aspx?etn=meta_segment&amp;pagetype=entityrecord&amp;id=44e3a56e-8030-eb11-a813-000d3ae15585","44e3a56e-8030-eb11-a813-000d3ae15585")</f>
        <v>44e3a56e-8030-eb11-a813-000d3ae15585</v>
      </c>
      <c r="IP35" t="inlineStr">
        <is>
          <t>10 - New accounts opened</t>
        </is>
      </c>
      <c r="IQ35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35" t="inlineStr">
        <is>
          <t>APH0</t>
        </is>
      </c>
      <c r="IZ35">
        <v>951850001</v>
      </c>
      <c r="JA35" t="inlineStr">
        <is>
          <t>Location</t>
        </is>
      </c>
      <c r="JE35" t="b">
        <v>0</v>
      </c>
      <c r="JF35" t="inlineStr">
        <is>
          <t>No</t>
        </is>
      </c>
      <c r="JT35">
        <v>951850001</v>
      </c>
      <c r="JU35" t="inlineStr">
        <is>
          <t>EXP - Standard Shipping</t>
        </is>
      </c>
      <c r="JY35" t="inlineStr" s="6">
        <f>HYPERLINK("https://metagenicsd365.crm6.dynamics.com/main.aspx?etn=meta_suburb&amp;pagetype=entityrecord&amp;id=1decbf15-b4a7-e911-a873-000d3ae10139","1decbf15-b4a7-e911-a873-000d3ae10139")</f>
        <v>1decbf15-b4a7-e911-a873-000d3ae10139</v>
      </c>
      <c r="JZ35" t="inlineStr">
        <is>
          <t>WARRELL CREEK</t>
        </is>
      </c>
      <c r="KB35">
        <v>0.0000</v>
      </c>
      <c r="KC35">
        <v>0.0000</v>
      </c>
      <c r="KD35" s="3">
        <v>46122.659502314818</v>
      </c>
      <c r="KE35">
        <v>1</v>
      </c>
      <c r="KF35">
        <v>0.0000</v>
      </c>
      <c r="KG35">
        <v>0.0000</v>
      </c>
      <c r="KH35" s="3">
        <v>46122.659502314818</v>
      </c>
      <c r="KI35">
        <v>1</v>
      </c>
      <c r="KJ35">
        <v>0.0000</v>
      </c>
      <c r="KK35">
        <v>0.0000</v>
      </c>
      <c r="KL35" s="3">
        <v>46122.659502314818</v>
      </c>
      <c r="KM35">
        <v>1</v>
      </c>
      <c r="KN35" t="b">
        <v>0</v>
      </c>
      <c r="KO35" t="inlineStr">
        <is>
          <t>No</t>
        </is>
      </c>
      <c r="KP35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35" t="inlineStr">
        <is>
          <t>Sriganesh Subramanian</t>
        </is>
      </c>
      <c r="KT35" s="3">
        <v>46086.462789351855</v>
      </c>
      <c r="LA35" t="b">
        <v>0</v>
      </c>
      <c r="LB35" t="inlineStr">
        <is>
          <t>No</t>
        </is>
      </c>
      <c r="LH35" t="inlineStr">
        <is>
          <t>ELIZABETH BIBBY</t>
        </is>
      </c>
      <c r="LO35">
        <v>0</v>
      </c>
      <c r="LP35" s="3">
        <v>46122.659502314818</v>
      </c>
      <c r="LQ35">
        <v>1</v>
      </c>
      <c r="LR35">
        <v>0.0000</v>
      </c>
      <c r="LS35">
        <v>0.0000</v>
      </c>
      <c r="LT35" s="3">
        <v>46122.659502314818</v>
      </c>
      <c r="LU35">
        <v>1</v>
      </c>
      <c r="LY35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35" t="inlineStr">
        <is>
          <t>Australia</t>
        </is>
      </c>
      <c r="MA35" t="inlineStr">
        <is>
          <t>team</t>
        </is>
      </c>
      <c r="MD35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35" t="inlineStr">
        <is>
          <t>Australia</t>
        </is>
      </c>
      <c r="MF35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J35" t="inlineStr" s="6">
        <f>HYPERLINK("https://metagenicsd365.crm6.dynamics.com/main.aspx?etn=account&amp;pagetype=entityrecord&amp;id=1973c78b-95a7-e911-a862-000d3ae10c61","1973c78b-95a7-e911-a862-000d3ae10c61")</f>
        <v>1973c78b-95a7-e911-a862-000d3ae10c61</v>
      </c>
      <c r="MK35" t="inlineStr">
        <is>
          <t>LEONI GARDNER</t>
        </is>
      </c>
      <c r="ML35" t="b">
        <v>0</v>
      </c>
      <c r="MM35" t="inlineStr">
        <is>
          <t>No</t>
        </is>
      </c>
      <c r="MT35">
        <v>1</v>
      </c>
      <c r="MU35" t="inlineStr">
        <is>
          <t>Any</t>
        </is>
      </c>
      <c r="NJ35">
        <v>1</v>
      </c>
      <c r="NK35" t="inlineStr">
        <is>
          <t>Airborne</t>
        </is>
      </c>
      <c r="NR35">
        <v>0</v>
      </c>
      <c r="NS35" t="inlineStr">
        <is>
          <t>Active</t>
        </is>
      </c>
      <c r="NT35">
        <v>1</v>
      </c>
      <c r="NU35" t="inlineStr">
        <is>
          <t>Active</t>
        </is>
      </c>
      <c r="NX35" t="inlineStr">
        <is>
          <t>TBA</t>
        </is>
      </c>
      <c r="NY35" t="inlineStr">
        <is>
          <t>0429 936 896</t>
        </is>
      </c>
      <c r="NZ35" t="inlineStr">
        <is>
          <t>1300 837 785</t>
        </is>
      </c>
      <c r="OA35">
        <v>1</v>
      </c>
      <c r="OB35" t="inlineStr">
        <is>
          <t>Default Value</t>
        </is>
      </c>
      <c r="OG35">
        <v>0</v>
      </c>
      <c r="OH35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35" t="inlineStr">
        <is>
          <t>Australian Dollar</t>
        </is>
      </c>
      <c r="OL35" t="inlineStr">
        <is>
          <t>0x000000003D8380F2</t>
        </is>
      </c>
    </row>
    <row r="36">
      <c r="C36">
        <v>1</v>
      </c>
      <c r="D36" t="inlineStr">
        <is>
          <t>Default Value</t>
        </is>
      </c>
      <c r="E36" t="inlineStr" s="6">
        <f>HYPERLINK("https://metagenicsd365.crm6.dynamics.com/main.aspx?etn=account&amp;pagetype=entityrecord&amp;id=0c134b22-b15e-ef11-bfe4-000d3a793080","0c134b22-b15e-ef11-bfe4-000d3a793080")</f>
        <v>0c134b22-b15e-ef11-bfe4-000d3a793080</v>
      </c>
      <c r="F36" t="inlineStr">
        <is>
          <t>000001061191</t>
        </is>
      </c>
      <c r="G36">
        <v>1</v>
      </c>
      <c r="H36" t="inlineStr">
        <is>
          <t>Default Value</t>
        </is>
      </c>
      <c r="I36" t="inlineStr" s="6">
        <f>HYPERLINK("https://metagenicsd365.crm6.dynamics.com/main.aspx?etn=account&amp;pagetype=entityrecord&amp;id=6d33d265-1e21-403d-aafc-3f8cfcf08468","6d33d265-1e21-403d-aafc-3f8cfcf08468")</f>
        <v>6d33d265-1e21-403d-aafc-3f8cfcf08468</v>
      </c>
      <c r="L36" t="inlineStr">
        <is>
          <t>/meta_suburbs(ff21ffa6-b3a7-e911-a873-000d3ae10cf1)</t>
        </is>
      </c>
      <c r="M36" t="inlineStr">
        <is>
          <t>16 STATION STREET
/meta_suburbs(ff21ffa6-b3a7-e911-a873-000d3ae10cf1), NSW</t>
        </is>
      </c>
      <c r="T36" t="inlineStr">
        <is>
          <t>16 STATION STREET</t>
        </is>
      </c>
      <c r="AD36" t="inlineStr">
        <is>
          <t>NSW</t>
        </is>
      </c>
      <c r="AE36" t="inlineStr">
        <is>
          <t>02 9638 3511</t>
        </is>
      </c>
      <c r="AJ36" t="inlineStr" s="6">
        <f>HYPERLINK("https://metagenicsd365.crm6.dynamics.com/main.aspx?etn=account&amp;pagetype=entityrecord&amp;id=1b361de3-d7f1-4ac9-b683-55ce886f7b3e","1b361de3-d7f1-4ac9-b683-55ce886f7b3e")</f>
        <v>1b361de3-d7f1-4ac9-b683-55ce886f7b3e</v>
      </c>
      <c r="AK36">
        <v>1</v>
      </c>
      <c r="AL36" t="inlineStr">
        <is>
          <t>Default Value</t>
        </is>
      </c>
      <c r="AM36" t="inlineStr">
        <is>
          <t>/meta_suburbs(ff21ffa6-b3a7-e911-a873-000d3ae10cf1)</t>
        </is>
      </c>
      <c r="AN36" t="inlineStr">
        <is>
          <t>16 STATION STREET
/meta_suburbs(ff21ffa6-b3a7-e911-a873-000d3ae10cf1), NSW</t>
        </is>
      </c>
      <c r="AR36">
        <v>1</v>
      </c>
      <c r="AS36" t="inlineStr">
        <is>
          <t>Default Value</t>
        </is>
      </c>
      <c r="AU36" t="inlineStr">
        <is>
          <t>16 STATION STREET</t>
        </is>
      </c>
      <c r="BC36">
        <v>1</v>
      </c>
      <c r="BD36" t="inlineStr">
        <is>
          <t>Default Value</t>
        </is>
      </c>
      <c r="BE36" t="inlineStr">
        <is>
          <t>NSW</t>
        </is>
      </c>
      <c r="BU36">
        <v>1</v>
      </c>
      <c r="BV36" t="inlineStr">
        <is>
          <t>Default Value</t>
        </is>
      </c>
      <c r="BY36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36" t="inlineStr">
        <is>
          <t>SVC_D365_CE #</t>
        </is>
      </c>
      <c r="CC36" s="3">
        <v>45524.208831018521</v>
      </c>
      <c r="CH36" t="b">
        <v>0</v>
      </c>
      <c r="CI36" t="inlineStr">
        <is>
          <t>No</t>
        </is>
      </c>
      <c r="CJ36">
        <v>1</v>
      </c>
      <c r="CK36" t="inlineStr">
        <is>
          <t>Default Value</t>
        </is>
      </c>
      <c r="CN36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36" t="inlineStr">
        <is>
          <t>All Products Australia</t>
        </is>
      </c>
      <c r="CQ36" t="b">
        <v>0</v>
      </c>
      <c r="CR36" t="inlineStr">
        <is>
          <t>Allow</t>
        </is>
      </c>
      <c r="CS36" t="b">
        <v>0</v>
      </c>
      <c r="CT36" t="inlineStr">
        <is>
          <t>No</t>
        </is>
      </c>
      <c r="CU36" t="b">
        <v>0</v>
      </c>
      <c r="CV36" t="inlineStr">
        <is>
          <t>Allow</t>
        </is>
      </c>
      <c r="CW36" t="b">
        <v>0</v>
      </c>
      <c r="CX36" t="inlineStr">
        <is>
          <t>Allow</t>
        </is>
      </c>
      <c r="CY36" t="b">
        <v>0</v>
      </c>
      <c r="CZ36" t="inlineStr">
        <is>
          <t>Allow</t>
        </is>
      </c>
      <c r="DA36" t="b">
        <v>0</v>
      </c>
      <c r="DB36" t="inlineStr">
        <is>
          <t>Allow</t>
        </is>
      </c>
      <c r="DC36" t="b">
        <v>0</v>
      </c>
      <c r="DD36" t="inlineStr">
        <is>
          <t>Send</t>
        </is>
      </c>
      <c r="DE36" t="inlineStr">
        <is>
          <t>info@springfieldpharmacy.com.au</t>
        </is>
      </c>
      <c r="DF36" t="inlineStr">
        <is>
          <t>info@springfieldpharmacy.com.au</t>
        </is>
      </c>
      <c r="DO36">
        <v>1.0000000000</v>
      </c>
      <c r="DQ36" t="b">
        <v>1</v>
      </c>
      <c r="DR36" t="inlineStr">
        <is>
          <t>Allow</t>
        </is>
      </c>
      <c r="EA36" t="b">
        <v>0</v>
      </c>
      <c r="EB36" t="inlineStr">
        <is>
          <t>No</t>
        </is>
      </c>
      <c r="EE36" t="b">
        <v>0</v>
      </c>
      <c r="EF36" t="inlineStr">
        <is>
          <t>No</t>
        </is>
      </c>
      <c r="EG36" t="inlineStr">
        <is>
          <t>No</t>
        </is>
      </c>
      <c r="EJ36" t="inlineStr">
        <is>
          <t>951850000,951850001</t>
        </is>
      </c>
      <c r="EK36" t="inlineStr">
        <is>
          <t>Retail; Practitioner</t>
        </is>
      </c>
      <c r="EN36" t="inlineStr">
        <is>
          <t>PRAC</t>
        </is>
      </c>
      <c r="EO36" t="b">
        <v>0</v>
      </c>
      <c r="EP36" t="inlineStr">
        <is>
          <t>No</t>
        </is>
      </c>
      <c r="EQ36" t="inlineStr">
        <is>
          <t>No</t>
        </is>
      </c>
      <c r="EU36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36" t="inlineStr">
        <is>
          <t>Australia</t>
        </is>
      </c>
      <c r="EW36">
        <v>951850003</v>
      </c>
      <c r="EX36" t="inlineStr">
        <is>
          <t>PRA01</t>
        </is>
      </c>
      <c r="EY36" t="inlineStr" s="6">
        <f>HYPERLINK("https://metagenicsd365.crm6.dynamics.com/main.aspx?etn=meta_postcode&amp;pagetype=entityrecord&amp;id=d49be312-b2a7-e911-a875-000d3ae104e7","d49be312-b2a7-e911-a875-000d3ae104e7")</f>
        <v>d49be312-b2a7-e911-a875-000d3ae104e7</v>
      </c>
      <c r="EZ36" t="inlineStr">
        <is>
          <t>2117</t>
        </is>
      </c>
      <c r="FA36" t="inlineStr" s="6">
        <f>HYPERLINK("https://metagenicsd365.crm6.dynamics.com/main.aspx?etn=meta_suburb&amp;pagetype=entityrecord&amp;id=ff21ffa6-b3a7-e911-a873-000d3ae10cf1","ff21ffa6-b3a7-e911-a873-000d3ae10cf1")</f>
        <v>ff21ffa6-b3a7-e911-a873-000d3ae10cf1</v>
      </c>
      <c r="FB36" t="inlineStr">
        <is>
          <t>DUNDAS</t>
        </is>
      </c>
      <c r="FC36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36" t="inlineStr">
        <is>
          <t>Australia</t>
        </is>
      </c>
      <c r="FE36" t="inlineStr">
        <is>
          <t>0000000000001061191</t>
        </is>
      </c>
      <c r="FM36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36" t="inlineStr">
        <is>
          <t>Australia</t>
        </is>
      </c>
      <c r="FO36" t="b">
        <v>1</v>
      </c>
      <c r="FP36" t="inlineStr">
        <is>
          <t>Yes</t>
        </is>
      </c>
      <c r="FQ36" t="inlineStr">
        <is>
          <t>PRACS</t>
        </is>
      </c>
      <c r="FW36" t="b">
        <v>0</v>
      </c>
      <c r="FX36" t="inlineStr">
        <is>
          <t>No</t>
        </is>
      </c>
      <c r="GA36" t="inlineStr">
        <is>
          <t>ABL10244494</t>
        </is>
      </c>
      <c r="GD36">
        <v>951850000</v>
      </c>
      <c r="GE36" t="inlineStr">
        <is>
          <t>Pending</t>
        </is>
      </c>
      <c r="GF36">
        <v>0.0000</v>
      </c>
      <c r="GG36">
        <v>0.0000</v>
      </c>
      <c r="GH36" s="3">
        <v>46122.659502314818</v>
      </c>
      <c r="GI36">
        <v>1</v>
      </c>
      <c r="GJ36" t="b">
        <v>1</v>
      </c>
      <c r="GK36" t="inlineStr">
        <is>
          <t>Yes</t>
        </is>
      </c>
      <c r="GL36" t="b">
        <v>1</v>
      </c>
      <c r="GM36" t="inlineStr">
        <is>
          <t>Yes</t>
        </is>
      </c>
      <c r="GO36" s="3">
        <v>46122.659502314818</v>
      </c>
      <c r="GQ36" s="3">
        <v>46074.184918981482</v>
      </c>
      <c r="GR36" s="3">
        <v>46122.659502314818</v>
      </c>
      <c r="GS36">
        <v>1</v>
      </c>
      <c r="GU36" s="3">
        <v>46122.659502314818</v>
      </c>
      <c r="GY36" t="inlineStr">
        <is>
          <t>000001061191</t>
        </is>
      </c>
      <c r="HB36" t="inlineStr">
        <is>
          <t>SPRINGFIELD PHARMACY</t>
        </is>
      </c>
      <c r="HC36" t="inlineStr">
        <is>
          <t>P0R10</t>
        </is>
      </c>
      <c r="HI36">
        <v>0.0000</v>
      </c>
      <c r="HK36" s="3">
        <v>46122.659502314818</v>
      </c>
      <c r="HL36">
        <v>1</v>
      </c>
      <c r="HM36">
        <v>0.0000</v>
      </c>
      <c r="HN36">
        <v>0.0000</v>
      </c>
      <c r="HO36" s="3">
        <v>46122.659502314818</v>
      </c>
      <c r="HP36">
        <v>1</v>
      </c>
      <c r="HX36" t="inlineStr" s="6">
        <f>HYPERLINK("https://metagenicsd365.crm6.dynamics.com/main.aspx?etn=meta_paymentterm&amp;pagetype=entityrecord&amp;id=0768c959-38ba-eb11-8236-00224817f624","0768c959-38ba-eb11-8236-00224817f624")</f>
        <v>0768c959-38ba-eb11-8236-00224817f624</v>
      </c>
      <c r="HY36" t="inlineStr">
        <is>
          <t>Net 30 Days End of Month</t>
        </is>
      </c>
      <c r="IC36" t="inlineStr">
        <is>
          <t>NSW</t>
        </is>
      </c>
      <c r="ID36" t="inlineStr">
        <is>
          <t>16 STATION STREET</t>
        </is>
      </c>
      <c r="IE36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36" t="inlineStr">
        <is>
          <t>Australia</t>
        </is>
      </c>
      <c r="IG36" t="inlineStr" s="6">
        <f>HYPERLINK("https://metagenicsd365.crm6.dynamics.com/main.aspx?etn=meta_postcode&amp;pagetype=entityrecord&amp;id=d49be312-b2a7-e911-a875-000d3ae104e7","d49be312-b2a7-e911-a875-000d3ae104e7")</f>
        <v>d49be312-b2a7-e911-a875-000d3ae104e7</v>
      </c>
      <c r="IH36" t="inlineStr">
        <is>
          <t>2117</t>
        </is>
      </c>
      <c r="II36" t="inlineStr" s="6">
        <f>HYPERLINK("https://metagenicsd365.crm6.dynamics.com/main.aspx?etn=meta_suburb&amp;pagetype=entityrecord&amp;id=ff21ffa6-b3a7-e911-a873-000d3ae10cf1","ff21ffa6-b3a7-e911-a873-000d3ae10cf1")</f>
        <v>ff21ffa6-b3a7-e911-a873-000d3ae10cf1</v>
      </c>
      <c r="IJ36" t="inlineStr">
        <is>
          <t>DUNDAS</t>
        </is>
      </c>
      <c r="IK36" t="inlineStr" s="6">
        <f>HYPERLINK("https://metagenicsd365.crm6.dynamics.com/main.aspx?etn=meta_postcode&amp;pagetype=entityrecord&amp;id=d49be312-b2a7-e911-a875-000d3ae104e7","d49be312-b2a7-e911-a875-000d3ae104e7")</f>
        <v>d49be312-b2a7-e911-a875-000d3ae104e7</v>
      </c>
      <c r="IL36" t="inlineStr">
        <is>
          <t>2117</t>
        </is>
      </c>
      <c r="IM36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36" t="inlineStr">
        <is>
          <t># HWORLD</t>
        </is>
      </c>
      <c r="IO36" t="inlineStr" s="6">
        <f>HYPERLINK("https://metagenicsd365.crm6.dynamics.com/main.aspx?etn=meta_segment&amp;pagetype=entityrecord&amp;id=44e3a56e-8030-eb11-a813-000d3ae15585","44e3a56e-8030-eb11-a813-000d3ae15585")</f>
        <v>44e3a56e-8030-eb11-a813-000d3ae15585</v>
      </c>
      <c r="IP36" t="inlineStr">
        <is>
          <t>10 - New accounts opened</t>
        </is>
      </c>
      <c r="IQ36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36" t="inlineStr">
        <is>
          <t>APH0</t>
        </is>
      </c>
      <c r="IW36" t="inlineStr" s="6">
        <f>HYPERLINK("https://metagenicsd365.crm6.dynamics.com/main.aspx?etn=meta_modality&amp;pagetype=entityrecord&amp;id=282a30ea-42a7-e911-a86f-000d3ae10f1f","282a30ea-42a7-e911-a86f-000d3ae10f1f")</f>
        <v>282a30ea-42a7-e911-a86f-000d3ae10f1f</v>
      </c>
      <c r="IX36" t="inlineStr">
        <is>
          <t>Pharmacist</t>
        </is>
      </c>
      <c r="IZ36">
        <v>951850000</v>
      </c>
      <c r="JA36" t="inlineStr">
        <is>
          <t>Billing</t>
        </is>
      </c>
      <c r="JE36" t="b">
        <v>0</v>
      </c>
      <c r="JF36" t="inlineStr">
        <is>
          <t>No</t>
        </is>
      </c>
      <c r="JI36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JJ36" t="inlineStr">
        <is>
          <t># HWORLD</t>
        </is>
      </c>
      <c r="JK36" t="inlineStr" s="6">
        <f>HYPERLINK("https://metagenicsd365.crm6.dynamics.com/main.aspx?etn=meta_segment&amp;pagetype=entityrecord&amp;id=44e3a56e-8030-eb11-a813-000d3ae15585","44e3a56e-8030-eb11-a813-000d3ae15585")</f>
        <v>44e3a56e-8030-eb11-a813-000d3ae15585</v>
      </c>
      <c r="JL36" t="inlineStr">
        <is>
          <t>10 - New accounts opened</t>
        </is>
      </c>
      <c r="JM36" t="inlineStr" s="6">
        <f>HYPERLINK("https://metagenicsd365.crm6.dynamics.com/main.aspx?etn=territory&amp;pagetype=entityrecord&amp;id=c64322e5-8030-eb11-a813-000d3ae15585","c64322e5-8030-eb11-a813-000d3ae15585")</f>
        <v>c64322e5-8030-eb11-a813-000d3ae15585</v>
      </c>
      <c r="JN36" t="inlineStr">
        <is>
          <t>ARH0</t>
        </is>
      </c>
      <c r="JT36">
        <v>951850001</v>
      </c>
      <c r="JU36" t="inlineStr">
        <is>
          <t>EXP - Standard Shipping</t>
        </is>
      </c>
      <c r="JY36" t="inlineStr" s="6">
        <f>HYPERLINK("https://metagenicsd365.crm6.dynamics.com/main.aspx?etn=meta_suburb&amp;pagetype=entityrecord&amp;id=ff21ffa6-b3a7-e911-a873-000d3ae10cf1","ff21ffa6-b3a7-e911-a873-000d3ae10cf1")</f>
        <v>ff21ffa6-b3a7-e911-a873-000d3ae10cf1</v>
      </c>
      <c r="JZ36" t="inlineStr">
        <is>
          <t>DUNDAS</t>
        </is>
      </c>
      <c r="KB36">
        <v>0.0000</v>
      </c>
      <c r="KD36" s="3">
        <v>46122.659502314818</v>
      </c>
      <c r="KE36">
        <v>1</v>
      </c>
      <c r="KF36">
        <v>0.0000</v>
      </c>
      <c r="KG36">
        <v>0.0000</v>
      </c>
      <c r="KH36" s="3">
        <v>46122.659502314818</v>
      </c>
      <c r="KI36">
        <v>1</v>
      </c>
      <c r="KJ36">
        <v>0.0000</v>
      </c>
      <c r="KK36">
        <v>0.0000</v>
      </c>
      <c r="KL36" s="3">
        <v>46122.659502314818</v>
      </c>
      <c r="KM36">
        <v>1</v>
      </c>
      <c r="KN36" t="b">
        <v>0</v>
      </c>
      <c r="KO36" t="inlineStr">
        <is>
          <t>No</t>
        </is>
      </c>
      <c r="KP36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36" t="inlineStr">
        <is>
          <t>Sriganesh Subramanian</t>
        </is>
      </c>
      <c r="KT36" s="3">
        <v>46086.424432870372</v>
      </c>
      <c r="LA36" t="b">
        <v>0</v>
      </c>
      <c r="LB36" t="inlineStr">
        <is>
          <t>No</t>
        </is>
      </c>
      <c r="LH36" t="inlineStr">
        <is>
          <t>SPRINGFIELD PHARMACY</t>
        </is>
      </c>
      <c r="LO36">
        <v>0</v>
      </c>
      <c r="LP36" s="3">
        <v>46122.659502314818</v>
      </c>
      <c r="LQ36">
        <v>1</v>
      </c>
      <c r="LR36">
        <v>0.0000</v>
      </c>
      <c r="LS36">
        <v>0.0000</v>
      </c>
      <c r="LT36" s="3">
        <v>46122.659502314818</v>
      </c>
      <c r="LU36">
        <v>1</v>
      </c>
      <c r="LY36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36" t="inlineStr">
        <is>
          <t>Australia</t>
        </is>
      </c>
      <c r="MA36" t="inlineStr">
        <is>
          <t>team</t>
        </is>
      </c>
      <c r="MD36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36" t="inlineStr">
        <is>
          <t>Australia</t>
        </is>
      </c>
      <c r="MF36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L36" t="b">
        <v>0</v>
      </c>
      <c r="MM36" t="inlineStr">
        <is>
          <t>No</t>
        </is>
      </c>
      <c r="MT36">
        <v>1</v>
      </c>
      <c r="MU36" t="inlineStr">
        <is>
          <t>Any</t>
        </is>
      </c>
      <c r="NB36" t="inlineStr" s="6">
        <f>HYPERLINK("https://metagenicsd365.crm6.dynamics.com/main.aspx?etn=contact&amp;pagetype=entityrecord&amp;id=07901520-b15e-ef11-bfe4-000d3ae10122","07901520-b15e-ef11-bfe4-000d3ae10122")</f>
        <v>07901520-b15e-ef11-bfe4-000d3ae10122</v>
      </c>
      <c r="NC36" t="inlineStr">
        <is>
          <t>SHABNAM MELLI PRACTITIONER</t>
        </is>
      </c>
      <c r="NJ36">
        <v>1</v>
      </c>
      <c r="NK36" t="inlineStr">
        <is>
          <t>Airborne</t>
        </is>
      </c>
      <c r="NR36">
        <v>0</v>
      </c>
      <c r="NS36" t="inlineStr">
        <is>
          <t>Active</t>
        </is>
      </c>
      <c r="NT36">
        <v>1</v>
      </c>
      <c r="NU36" t="inlineStr">
        <is>
          <t>Active</t>
        </is>
      </c>
      <c r="NX36" t="inlineStr">
        <is>
          <t>02 9638 3511</t>
        </is>
      </c>
      <c r="NY36" t="inlineStr">
        <is>
          <t>02 9638 3511</t>
        </is>
      </c>
      <c r="OA36">
        <v>1</v>
      </c>
      <c r="OB36" t="inlineStr">
        <is>
          <t>Default Value</t>
        </is>
      </c>
      <c r="OH36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36" t="inlineStr">
        <is>
          <t>Australian Dollar</t>
        </is>
      </c>
      <c r="OL36" t="inlineStr">
        <is>
          <t>0x000000003D831D7E</t>
        </is>
      </c>
    </row>
    <row r="37">
      <c r="C37">
        <v>1</v>
      </c>
      <c r="D37" t="inlineStr">
        <is>
          <t>Default Value</t>
        </is>
      </c>
      <c r="E37" t="inlineStr" s="6">
        <f>HYPERLINK("https://metagenicsd365.crm6.dynamics.com/main.aspx?etn=account&amp;pagetype=entityrecord&amp;id=98b518d0-5a5f-ef11-bfe4-000d3a793080","98b518d0-5a5f-ef11-bfe4-000d3a793080")</f>
        <v>98b518d0-5a5f-ef11-bfe4-000d3a793080</v>
      </c>
      <c r="F37" t="inlineStr">
        <is>
          <t>000000035699</t>
        </is>
      </c>
      <c r="G37">
        <v>1</v>
      </c>
      <c r="H37" t="inlineStr">
        <is>
          <t>Default Value</t>
        </is>
      </c>
      <c r="I37" t="inlineStr" s="6">
        <f>HYPERLINK("https://metagenicsd365.crm6.dynamics.com/main.aspx?etn=account&amp;pagetype=entityrecord&amp;id=742e6eed-09c5-4793-8124-1810511d5b11","742e6eed-09c5-4793-8124-1810511d5b11")</f>
        <v>742e6eed-09c5-4793-8124-1810511d5b11</v>
      </c>
      <c r="M37" t="inlineStr">
        <is>
          <t>SHOP 1&amp;2 119 BEAUMONT STREET
NSW</t>
        </is>
      </c>
      <c r="T37" t="inlineStr">
        <is>
          <t>SHOP 1&amp;2 119 BEAUMONT STREET</t>
        </is>
      </c>
      <c r="AD37" t="inlineStr">
        <is>
          <t>NSW</t>
        </is>
      </c>
      <c r="AJ37" t="inlineStr" s="6">
        <f>HYPERLINK("https://metagenicsd365.crm6.dynamics.com/main.aspx?etn=account&amp;pagetype=entityrecord&amp;id=13385b95-da26-4b0a-bf68-b5d35c3d3f83","13385b95-da26-4b0a-bf68-b5d35c3d3f83")</f>
        <v>13385b95-da26-4b0a-bf68-b5d35c3d3f83</v>
      </c>
      <c r="AK37">
        <v>1</v>
      </c>
      <c r="AL37" t="inlineStr">
        <is>
          <t>Default Value</t>
        </is>
      </c>
      <c r="AN37" t="inlineStr">
        <is>
          <t>SHOP 1&amp;2 119 BEAUMONT ST
NSW</t>
        </is>
      </c>
      <c r="AR37">
        <v>1</v>
      </c>
      <c r="AS37" t="inlineStr">
        <is>
          <t>Default Value</t>
        </is>
      </c>
      <c r="AU37" t="inlineStr">
        <is>
          <t>SHOP 1&amp;2 119 BEAUMONT ST</t>
        </is>
      </c>
      <c r="BC37">
        <v>1</v>
      </c>
      <c r="BD37" t="inlineStr">
        <is>
          <t>Default Value</t>
        </is>
      </c>
      <c r="BE37" t="inlineStr">
        <is>
          <t>NSW</t>
        </is>
      </c>
      <c r="BU37">
        <v>1</v>
      </c>
      <c r="BV37" t="inlineStr">
        <is>
          <t>Default Value</t>
        </is>
      </c>
      <c r="BY37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37" t="inlineStr">
        <is>
          <t>SVC_D365_CE #</t>
        </is>
      </c>
      <c r="CC37" s="3">
        <v>45525.05228009259</v>
      </c>
      <c r="CF37">
        <v>0.0000</v>
      </c>
      <c r="CG37">
        <v>0.0000</v>
      </c>
      <c r="CH37" t="b">
        <v>0</v>
      </c>
      <c r="CI37" t="inlineStr">
        <is>
          <t>No</t>
        </is>
      </c>
      <c r="CJ37">
        <v>1</v>
      </c>
      <c r="CK37" t="inlineStr">
        <is>
          <t>Default Value</t>
        </is>
      </c>
      <c r="CN37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37" t="inlineStr">
        <is>
          <t>All Products Australia</t>
        </is>
      </c>
      <c r="CQ37" t="b">
        <v>0</v>
      </c>
      <c r="CR37" t="inlineStr">
        <is>
          <t>Allow</t>
        </is>
      </c>
      <c r="CS37" t="b">
        <v>0</v>
      </c>
      <c r="CT37" t="inlineStr">
        <is>
          <t>No</t>
        </is>
      </c>
      <c r="CU37" t="b">
        <v>0</v>
      </c>
      <c r="CV37" t="inlineStr">
        <is>
          <t>Allow</t>
        </is>
      </c>
      <c r="CW37" t="b">
        <v>0</v>
      </c>
      <c r="CX37" t="inlineStr">
        <is>
          <t>Allow</t>
        </is>
      </c>
      <c r="CY37" t="b">
        <v>0</v>
      </c>
      <c r="CZ37" t="inlineStr">
        <is>
          <t>Allow</t>
        </is>
      </c>
      <c r="DA37" t="b">
        <v>0</v>
      </c>
      <c r="DB37" t="inlineStr">
        <is>
          <t>Allow</t>
        </is>
      </c>
      <c r="DC37" t="b">
        <v>0</v>
      </c>
      <c r="DD37" t="inlineStr">
        <is>
          <t>Send</t>
        </is>
      </c>
      <c r="DF37" t="inlineStr">
        <is>
          <t>admin@visionarychemist.com.au</t>
        </is>
      </c>
      <c r="DO37">
        <v>1.0000000000</v>
      </c>
      <c r="DQ37" t="b">
        <v>1</v>
      </c>
      <c r="DR37" t="inlineStr">
        <is>
          <t>Allow</t>
        </is>
      </c>
      <c r="EA37" t="b">
        <v>0</v>
      </c>
      <c r="EB37" t="inlineStr">
        <is>
          <t>No</t>
        </is>
      </c>
      <c r="EE37" t="b">
        <v>0</v>
      </c>
      <c r="EF37" t="inlineStr">
        <is>
          <t>No</t>
        </is>
      </c>
      <c r="EJ37" t="inlineStr">
        <is>
          <t>951850001</t>
        </is>
      </c>
      <c r="EK37" t="inlineStr">
        <is>
          <t>Practitioner</t>
        </is>
      </c>
      <c r="EM37" s="1">
        <v>45948</v>
      </c>
      <c r="EO37" t="b">
        <v>0</v>
      </c>
      <c r="EP37" t="inlineStr">
        <is>
          <t>No</t>
        </is>
      </c>
      <c r="ES37" t="inlineStr" s="6">
        <f>HYPERLINK("https://metagenicsd365.crm6.dynamics.com/main.aspx?etn=account&amp;pagetype=entityrecord&amp;id=51177826-86a7-e911-a862-000d3ae10c61","51177826-86a7-e911-a862-000d3ae10c61")</f>
        <v>51177826-86a7-e911-a862-000d3ae10c61</v>
      </c>
      <c r="ET37" t="inlineStr">
        <is>
          <t>VISIONARY HEALTH COMPOUNDING CHEMIST</t>
        </is>
      </c>
      <c r="EU37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37" t="inlineStr">
        <is>
          <t>Australia</t>
        </is>
      </c>
      <c r="EW37">
        <v>951850007</v>
      </c>
      <c r="EX37" t="inlineStr">
        <is>
          <t>PRA06</t>
        </is>
      </c>
      <c r="EY37" t="inlineStr" s="6">
        <f>HYPERLINK("https://metagenicsd365.crm6.dynamics.com/main.aspx?etn=meta_postcode&amp;pagetype=entityrecord&amp;id=d78c0850-b2a7-e911-a86f-000d3ae10f1f","d78c0850-b2a7-e911-a86f-000d3ae10f1f")</f>
        <v>d78c0850-b2a7-e911-a86f-000d3ae10f1f</v>
      </c>
      <c r="EZ37" t="inlineStr">
        <is>
          <t>2303</t>
        </is>
      </c>
      <c r="FA37" t="inlineStr" s="6">
        <f>HYPERLINK("https://metagenicsd365.crm6.dynamics.com/main.aspx?etn=meta_suburb&amp;pagetype=entityrecord&amp;id=ce8f267f-b4a7-e911-a873-000d3ae10139","ce8f267f-b4a7-e911-a873-000d3ae10139")</f>
        <v>ce8f267f-b4a7-e911-a873-000d3ae10139</v>
      </c>
      <c r="FB37" t="inlineStr">
        <is>
          <t>HAMILTON</t>
        </is>
      </c>
      <c r="FC37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37" t="inlineStr">
        <is>
          <t>Australia</t>
        </is>
      </c>
      <c r="FE37" t="inlineStr">
        <is>
          <t>0000000000000035699</t>
        </is>
      </c>
      <c r="FJ37" t="inlineStr">
        <is>
          <t>FinOps Excel - EDI</t>
        </is>
      </c>
      <c r="FM37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37" t="inlineStr">
        <is>
          <t>Australia</t>
        </is>
      </c>
      <c r="FO37" t="b">
        <v>1</v>
      </c>
      <c r="FP37" t="inlineStr">
        <is>
          <t>Yes</t>
        </is>
      </c>
      <c r="FQ37" t="inlineStr">
        <is>
          <t>PRACS</t>
        </is>
      </c>
      <c r="FW37" t="b">
        <v>0</v>
      </c>
      <c r="FX37" t="inlineStr">
        <is>
          <t>No</t>
        </is>
      </c>
      <c r="GA37" t="inlineStr">
        <is>
          <t>ABL10251759</t>
        </is>
      </c>
      <c r="GD37">
        <v>951850000</v>
      </c>
      <c r="GE37" t="inlineStr">
        <is>
          <t>Pending</t>
        </is>
      </c>
      <c r="GF37">
        <v>0.0000</v>
      </c>
      <c r="GG37">
        <v>0.0000</v>
      </c>
      <c r="GH37" s="3">
        <v>46122.659502314818</v>
      </c>
      <c r="GI37">
        <v>1</v>
      </c>
      <c r="GJ37" t="b">
        <v>1</v>
      </c>
      <c r="GK37" t="inlineStr">
        <is>
          <t>Yes</t>
        </is>
      </c>
      <c r="GO37" s="3">
        <v>46122.659502314818</v>
      </c>
      <c r="GR37" s="3">
        <v>46122.659502314818</v>
      </c>
      <c r="GU37" s="3">
        <v>46122.659502314818</v>
      </c>
      <c r="GY37" t="inlineStr">
        <is>
          <t>000000035699</t>
        </is>
      </c>
      <c r="GZ37" t="inlineStr">
        <is>
          <t>000000000065634</t>
        </is>
      </c>
      <c r="HB37" t="inlineStr">
        <is>
          <t>VISIONARY HEALTH COMPOUNDING CHEMIST</t>
        </is>
      </c>
      <c r="HD37" t="inlineStr" s="6">
        <f>HYPERLINK("https://metagenicsd365.crm6.dynamics.com/main.aspx?etn=account&amp;pagetype=entityrecord&amp;id=51177826-86a7-e911-a862-000d3ae10c61","51177826-86a7-e911-a862-000d3ae10c61")</f>
        <v>51177826-86a7-e911-a862-000d3ae10c61</v>
      </c>
      <c r="HE37" t="inlineStr">
        <is>
          <t>VISIONARY HEALTH COMPOUNDING CHEMIST</t>
        </is>
      </c>
      <c r="HI37">
        <v>0.0000</v>
      </c>
      <c r="HK37" s="3">
        <v>46122.659502314818</v>
      </c>
      <c r="HL37">
        <v>1</v>
      </c>
      <c r="HM37">
        <v>0.0000</v>
      </c>
      <c r="HO37" s="3">
        <v>46122.659502314818</v>
      </c>
      <c r="HP37">
        <v>1</v>
      </c>
      <c r="HX37" t="inlineStr" s="6">
        <f>HYPERLINK("https://metagenicsd365.crm6.dynamics.com/main.aspx?etn=meta_paymentterm&amp;pagetype=entityrecord&amp;id=0768c959-38ba-eb11-8236-00224817f624","0768c959-38ba-eb11-8236-00224817f624")</f>
        <v>0768c959-38ba-eb11-8236-00224817f624</v>
      </c>
      <c r="HY37" t="inlineStr">
        <is>
          <t>Net 30 Days End of Month</t>
        </is>
      </c>
      <c r="IC37" t="inlineStr">
        <is>
          <t>NSW</t>
        </is>
      </c>
      <c r="ID37" t="inlineStr">
        <is>
          <t>SHOP 1&amp;2 119 BEAUMONT STREET</t>
        </is>
      </c>
      <c r="IE37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37" t="inlineStr">
        <is>
          <t>Australia</t>
        </is>
      </c>
      <c r="IG37" t="inlineStr" s="6">
        <f>HYPERLINK("https://metagenicsd365.crm6.dynamics.com/main.aspx?etn=meta_postcode&amp;pagetype=entityrecord&amp;id=d78c0850-b2a7-e911-a86f-000d3ae10f1f","d78c0850-b2a7-e911-a86f-000d3ae10f1f")</f>
        <v>d78c0850-b2a7-e911-a86f-000d3ae10f1f</v>
      </c>
      <c r="IH37" t="inlineStr">
        <is>
          <t>2303</t>
        </is>
      </c>
      <c r="II37" t="inlineStr" s="6">
        <f>HYPERLINK("https://metagenicsd365.crm6.dynamics.com/main.aspx?etn=meta_suburb&amp;pagetype=entityrecord&amp;id=ce8f267f-b4a7-e911-a873-000d3ae10139","ce8f267f-b4a7-e911-a873-000d3ae10139")</f>
        <v>ce8f267f-b4a7-e911-a873-000d3ae10139</v>
      </c>
      <c r="IJ37" t="inlineStr">
        <is>
          <t>HAMILTON</t>
        </is>
      </c>
      <c r="IK37" t="inlineStr" s="6">
        <f>HYPERLINK("https://metagenicsd365.crm6.dynamics.com/main.aspx?etn=meta_postcode&amp;pagetype=entityrecord&amp;id=d78c0850-b2a7-e911-a86f-000d3ae10f1f","d78c0850-b2a7-e911-a86f-000d3ae10f1f")</f>
        <v>d78c0850-b2a7-e911-a86f-000d3ae10f1f</v>
      </c>
      <c r="IL37" t="inlineStr">
        <is>
          <t>2303</t>
        </is>
      </c>
      <c r="IM37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37" t="inlineStr">
        <is>
          <t># HWORLD</t>
        </is>
      </c>
      <c r="IO37" t="inlineStr" s="6">
        <f>HYPERLINK("https://metagenicsd365.crm6.dynamics.com/main.aspx?etn=meta_segment&amp;pagetype=entityrecord&amp;id=44e3a56e-8030-eb11-a813-000d3ae15585","44e3a56e-8030-eb11-a813-000d3ae15585")</f>
        <v>44e3a56e-8030-eb11-a813-000d3ae15585</v>
      </c>
      <c r="IP37" t="inlineStr">
        <is>
          <t>10 - New accounts opened</t>
        </is>
      </c>
      <c r="IQ37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37" t="inlineStr">
        <is>
          <t>APH0</t>
        </is>
      </c>
      <c r="IU37" t="b">
        <v>1</v>
      </c>
      <c r="IV37" t="inlineStr">
        <is>
          <t>Yes</t>
        </is>
      </c>
      <c r="IZ37">
        <v>951850001</v>
      </c>
      <c r="JA37" t="inlineStr">
        <is>
          <t>Location</t>
        </is>
      </c>
      <c r="JE37" t="b">
        <v>0</v>
      </c>
      <c r="JF37" t="inlineStr">
        <is>
          <t>No</t>
        </is>
      </c>
      <c r="JT37">
        <v>951850001</v>
      </c>
      <c r="JU37" t="inlineStr">
        <is>
          <t>EXP - Standard Shipping</t>
        </is>
      </c>
      <c r="JY37" t="inlineStr" s="6">
        <f>HYPERLINK("https://metagenicsd365.crm6.dynamics.com/main.aspx?etn=meta_suburb&amp;pagetype=entityrecord&amp;id=ce8f267f-b4a7-e911-a873-000d3ae10139","ce8f267f-b4a7-e911-a873-000d3ae10139")</f>
        <v>ce8f267f-b4a7-e911-a873-000d3ae10139</v>
      </c>
      <c r="JZ37" t="inlineStr">
        <is>
          <t>HAMILTON</t>
        </is>
      </c>
      <c r="KA37" t="inlineStr">
        <is>
          <t>Yes</t>
        </is>
      </c>
      <c r="KB37">
        <v>0.0000</v>
      </c>
      <c r="KD37" s="3">
        <v>46122.659502314818</v>
      </c>
      <c r="KE37">
        <v>1</v>
      </c>
      <c r="KF37">
        <v>0.0000</v>
      </c>
      <c r="KH37" s="3">
        <v>46122.659502314818</v>
      </c>
      <c r="KI37">
        <v>1</v>
      </c>
      <c r="KJ37">
        <v>0.0000</v>
      </c>
      <c r="KL37" s="3">
        <v>46122.659502314818</v>
      </c>
      <c r="KM37">
        <v>1</v>
      </c>
      <c r="KN37" t="b">
        <v>0</v>
      </c>
      <c r="KO37" t="inlineStr">
        <is>
          <t>No</t>
        </is>
      </c>
      <c r="KP37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KQ37" t="inlineStr">
        <is>
          <t>SVC_D365_CE #</t>
        </is>
      </c>
      <c r="KT37" s="3">
        <v>46104.232951388891</v>
      </c>
      <c r="LA37" t="b">
        <v>0</v>
      </c>
      <c r="LB37" t="inlineStr">
        <is>
          <t>No</t>
        </is>
      </c>
      <c r="LH37" t="inlineStr">
        <is>
          <t>VISIONARY HEALTH COMPOUNDING CHEMIST</t>
        </is>
      </c>
      <c r="LO37">
        <v>0</v>
      </c>
      <c r="LP37" s="3">
        <v>46122.659502314818</v>
      </c>
      <c r="LQ37">
        <v>1</v>
      </c>
      <c r="LR37">
        <v>0.0000</v>
      </c>
      <c r="LS37">
        <v>0.0000</v>
      </c>
      <c r="LT37" s="3">
        <v>46122.659502314818</v>
      </c>
      <c r="LU37">
        <v>1</v>
      </c>
      <c r="LY37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37" t="inlineStr">
        <is>
          <t>Australia</t>
        </is>
      </c>
      <c r="MA37" t="inlineStr">
        <is>
          <t>team</t>
        </is>
      </c>
      <c r="MD37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37" t="inlineStr">
        <is>
          <t>Australia</t>
        </is>
      </c>
      <c r="MF37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J37" t="inlineStr" s="6">
        <f>HYPERLINK("https://metagenicsd365.crm6.dynamics.com/main.aspx?etn=account&amp;pagetype=entityrecord&amp;id=51177826-86a7-e911-a862-000d3ae10c61","51177826-86a7-e911-a862-000d3ae10c61")</f>
        <v>51177826-86a7-e911-a862-000d3ae10c61</v>
      </c>
      <c r="MK37" t="inlineStr">
        <is>
          <t>VISIONARY HEALTH COMPOUNDING CHEMIST</t>
        </is>
      </c>
      <c r="ML37" t="b">
        <v>0</v>
      </c>
      <c r="MM37" t="inlineStr">
        <is>
          <t>No</t>
        </is>
      </c>
      <c r="MT37">
        <v>1</v>
      </c>
      <c r="MU37" t="inlineStr">
        <is>
          <t>Any</t>
        </is>
      </c>
      <c r="NJ37">
        <v>1</v>
      </c>
      <c r="NK37" t="inlineStr">
        <is>
          <t>Airborne</t>
        </is>
      </c>
      <c r="NR37">
        <v>0</v>
      </c>
      <c r="NS37" t="inlineStr">
        <is>
          <t>Active</t>
        </is>
      </c>
      <c r="NT37">
        <v>1</v>
      </c>
      <c r="NU37" t="inlineStr">
        <is>
          <t>Active</t>
        </is>
      </c>
      <c r="NY37" t="inlineStr">
        <is>
          <t>02 4969 5081</t>
        </is>
      </c>
      <c r="OA37">
        <v>1</v>
      </c>
      <c r="OB37" t="inlineStr">
        <is>
          <t>Default Value</t>
        </is>
      </c>
      <c r="OG37">
        <v>0</v>
      </c>
      <c r="OH37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37" t="inlineStr">
        <is>
          <t>Australian Dollar</t>
        </is>
      </c>
      <c r="OL37" t="inlineStr">
        <is>
          <t>0x000000003E348498</t>
        </is>
      </c>
    </row>
    <row r="38">
      <c r="C38">
        <v>1</v>
      </c>
      <c r="D38" t="inlineStr">
        <is>
          <t>Default Value</t>
        </is>
      </c>
      <c r="E38" t="inlineStr" s="6">
        <f>HYPERLINK("https://metagenicsd365.crm6.dynamics.com/main.aspx?etn=account&amp;pagetype=entityrecord&amp;id=d76fe600-409a-ef11-8a69-000d3a79329c","d76fe600-409a-ef11-8a69-000d3a79329c")</f>
        <v>d76fe600-409a-ef11-8a69-000d3a79329c</v>
      </c>
      <c r="F38" t="inlineStr">
        <is>
          <t>000001220911</t>
        </is>
      </c>
      <c r="G38">
        <v>1</v>
      </c>
      <c r="H38" t="inlineStr">
        <is>
          <t>Default Value</t>
        </is>
      </c>
      <c r="I38" t="inlineStr" s="6">
        <f>HYPERLINK("https://metagenicsd365.crm6.dynamics.com/main.aspx?etn=account&amp;pagetype=entityrecord&amp;id=fef2a116-759b-44ee-aaaf-6bd5ce222b0e","fef2a116-759b-44ee-aaaf-6bd5ce222b0e")</f>
        <v>fef2a116-759b-44ee-aaaf-6bd5ce222b0e</v>
      </c>
      <c r="L38" t="inlineStr">
        <is>
          <t>/meta_suburbs(44e250e1-b5a7-e911-a875-000d3ae104e7)</t>
        </is>
      </c>
      <c r="M38" t="inlineStr">
        <is>
          <t>Shop 8-9/24 Kingston Plaza Shopping Centre 20 Channel Highway,
/meta_suburbs(44e250e1-b5a7-e911-a875-000d3ae104e7), TAS</t>
        </is>
      </c>
      <c r="T38" t="inlineStr">
        <is>
          <t>Shop 8-9/24 Kingston Plaza Shopping Centre 20 Channel Highway,</t>
        </is>
      </c>
      <c r="AD38" t="inlineStr">
        <is>
          <t>TAS</t>
        </is>
      </c>
      <c r="AE38" t="inlineStr">
        <is>
          <t>0362291600</t>
        </is>
      </c>
      <c r="AJ38" t="inlineStr" s="6">
        <f>HYPERLINK("https://metagenicsd365.crm6.dynamics.com/main.aspx?etn=account&amp;pagetype=entityrecord&amp;id=fd5ef3ec-cb82-4c26-ad82-822ab0da25dc","fd5ef3ec-cb82-4c26-ad82-822ab0da25dc")</f>
        <v>fd5ef3ec-cb82-4c26-ad82-822ab0da25dc</v>
      </c>
      <c r="AK38">
        <v>1</v>
      </c>
      <c r="AL38" t="inlineStr">
        <is>
          <t>Default Value</t>
        </is>
      </c>
      <c r="AM38" t="inlineStr">
        <is>
          <t>/meta_suburbs(44e250e1-b5a7-e911-a875-000d3ae104e7)</t>
        </is>
      </c>
      <c r="AN38" t="inlineStr">
        <is>
          <t>Shop 8-9/24 Kingston Plaza Shopping Centre 20 Channel Highway,
/meta_suburbs(44e250e1-b5a7-e911-a875-000d3ae104e7), TAS</t>
        </is>
      </c>
      <c r="AR38">
        <v>1</v>
      </c>
      <c r="AS38" t="inlineStr">
        <is>
          <t>Default Value</t>
        </is>
      </c>
      <c r="AU38" t="inlineStr">
        <is>
          <t>Shop 8-9/24 Kingston Plaza Shopping Centre 20 Channel Highway,</t>
        </is>
      </c>
      <c r="BC38">
        <v>1</v>
      </c>
      <c r="BD38" t="inlineStr">
        <is>
          <t>Default Value</t>
        </is>
      </c>
      <c r="BE38" t="inlineStr">
        <is>
          <t>TAS</t>
        </is>
      </c>
      <c r="BU38">
        <v>1</v>
      </c>
      <c r="BV38" t="inlineStr">
        <is>
          <t>Default Value</t>
        </is>
      </c>
      <c r="BY38" t="inlineStr" s="6">
        <f>HYPERLINK("https://metagenicsd365.crm6.dynamics.com/main.aspx?etn=systemuser&amp;pagetype=entityrecord&amp;id=18d7b48c-0eac-e911-a873-000d3ae105a1","18d7b48c-0eac-e911-a873-000d3ae105a1")</f>
        <v>18d7b48c-0eac-e911-a873-000d3ae105a1</v>
      </c>
      <c r="BZ38" t="inlineStr">
        <is>
          <t>SVC_D365_CE #</t>
        </is>
      </c>
      <c r="CC38" s="3">
        <v>45600.00136574074</v>
      </c>
      <c r="CH38" t="b">
        <v>0</v>
      </c>
      <c r="CI38" t="inlineStr">
        <is>
          <t>No</t>
        </is>
      </c>
      <c r="CJ38">
        <v>1</v>
      </c>
      <c r="CK38" t="inlineStr">
        <is>
          <t>Default Value</t>
        </is>
      </c>
      <c r="CN38" t="inlineStr" s="6">
        <f>HYPERLINK("https://metagenicsd365.crm6.dynamics.com/main.aspx?etn=pricelevel&amp;pagetype=entityrecord&amp;id=10e3d934-44a7-e911-a86f-000d3ae10f1f","10e3d934-44a7-e911-a86f-000d3ae10f1f")</f>
        <v>10e3d934-44a7-e911-a86f-000d3ae10f1f</v>
      </c>
      <c r="CO38" t="inlineStr">
        <is>
          <t>Retail Products Australia</t>
        </is>
      </c>
      <c r="CQ38" t="b">
        <v>0</v>
      </c>
      <c r="CR38" t="inlineStr">
        <is>
          <t>Allow</t>
        </is>
      </c>
      <c r="CS38" t="b">
        <v>0</v>
      </c>
      <c r="CT38" t="inlineStr">
        <is>
          <t>No</t>
        </is>
      </c>
      <c r="CU38" t="b">
        <v>0</v>
      </c>
      <c r="CV38" t="inlineStr">
        <is>
          <t>Allow</t>
        </is>
      </c>
      <c r="CW38" t="b">
        <v>0</v>
      </c>
      <c r="CX38" t="inlineStr">
        <is>
          <t>Allow</t>
        </is>
      </c>
      <c r="CY38" t="b">
        <v>0</v>
      </c>
      <c r="CZ38" t="inlineStr">
        <is>
          <t>Allow</t>
        </is>
      </c>
      <c r="DA38" t="b">
        <v>0</v>
      </c>
      <c r="DB38" t="inlineStr">
        <is>
          <t>Allow</t>
        </is>
      </c>
      <c r="DC38" t="b">
        <v>0</v>
      </c>
      <c r="DD38" t="inlineStr">
        <is>
          <t>Send</t>
        </is>
      </c>
      <c r="DE38" t="inlineStr">
        <is>
          <t>kp@taspharm.com.au</t>
        </is>
      </c>
      <c r="DF38" t="inlineStr">
        <is>
          <t>kp@taspharm.com.au</t>
        </is>
      </c>
      <c r="DO38">
        <v>1.0000000000</v>
      </c>
      <c r="DQ38" t="b">
        <v>1</v>
      </c>
      <c r="DR38" t="inlineStr">
        <is>
          <t>Allow</t>
        </is>
      </c>
      <c r="EA38" t="b">
        <v>0</v>
      </c>
      <c r="EB38" t="inlineStr">
        <is>
          <t>No</t>
        </is>
      </c>
      <c r="EE38" t="b">
        <v>0</v>
      </c>
      <c r="EF38" t="inlineStr">
        <is>
          <t>No</t>
        </is>
      </c>
      <c r="EG38" t="inlineStr">
        <is>
          <t>No</t>
        </is>
      </c>
      <c r="EJ38" t="inlineStr">
        <is>
          <t>951850001</t>
        </is>
      </c>
      <c r="EK38" t="inlineStr">
        <is>
          <t>Practitioner</t>
        </is>
      </c>
      <c r="EN38" t="inlineStr">
        <is>
          <t>PRAC</t>
        </is>
      </c>
      <c r="EO38" t="b">
        <v>0</v>
      </c>
      <c r="EP38" t="inlineStr">
        <is>
          <t>No</t>
        </is>
      </c>
      <c r="EQ38" t="inlineStr">
        <is>
          <t>No</t>
        </is>
      </c>
      <c r="ER38" t="inlineStr">
        <is>
          <t>https://metagenicscorpaus.sharepoint.com/:f:/s/TMsRETAIL/EsxTgXoEW15Cpb4PrWiaH9QBnlmstRLM7FLxM8fo7zXcTw?e=nXU2zj</t>
        </is>
      </c>
      <c r="EU38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38" t="inlineStr">
        <is>
          <t>Australia</t>
        </is>
      </c>
      <c r="EW38">
        <v>951850018</v>
      </c>
      <c r="EX38" t="inlineStr">
        <is>
          <t>PRA03</t>
        </is>
      </c>
      <c r="EY38" t="inlineStr" s="6">
        <f>HYPERLINK("https://metagenicsd365.crm6.dynamics.com/main.aspx?etn=meta_postcode&amp;pagetype=entityrecord&amp;id=4a7aaa43-b2a7-e911-a875-000d3ae104e7","4a7aaa43-b2a7-e911-a875-000d3ae104e7")</f>
        <v>4a7aaa43-b2a7-e911-a875-000d3ae104e7</v>
      </c>
      <c r="EZ38" t="inlineStr">
        <is>
          <t>7050</t>
        </is>
      </c>
      <c r="FA38" t="inlineStr" s="6">
        <f>HYPERLINK("https://metagenicsd365.crm6.dynamics.com/main.aspx?etn=meta_suburb&amp;pagetype=entityrecord&amp;id=44e250e1-b5a7-e911-a875-000d3ae104e7","44e250e1-b5a7-e911-a875-000d3ae104e7")</f>
        <v>44e250e1-b5a7-e911-a875-000d3ae104e7</v>
      </c>
      <c r="FB38" t="inlineStr">
        <is>
          <t>KINGSTON</t>
        </is>
      </c>
      <c r="FC38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38" t="inlineStr">
        <is>
          <t>Australia</t>
        </is>
      </c>
      <c r="FE38" t="inlineStr">
        <is>
          <t>0000000000001220911</t>
        </is>
      </c>
      <c r="FM38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38" t="inlineStr">
        <is>
          <t>Australia</t>
        </is>
      </c>
      <c r="FO38" t="b">
        <v>1</v>
      </c>
      <c r="FP38" t="inlineStr">
        <is>
          <t>Yes</t>
        </is>
      </c>
      <c r="FQ38" t="inlineStr">
        <is>
          <t>PRACS</t>
        </is>
      </c>
      <c r="FW38" t="b">
        <v>0</v>
      </c>
      <c r="FX38" t="inlineStr">
        <is>
          <t>No</t>
        </is>
      </c>
      <c r="GA38" t="inlineStr">
        <is>
          <t>ABL11153777</t>
        </is>
      </c>
      <c r="GB38" t="inlineStr" s="6">
        <f>HYPERLINK("https://metagenicsd365.crm6.dynamics.com/main.aspx?etn=meta_group&amp;pagetype=entityrecord&amp;id=685f60f4-b1a7-e911-a86f-000d3ae10f1f","685f60f4-b1a7-e911-a86f-000d3ae10f1f")</f>
        <v>685f60f4-b1a7-e911-a86f-000d3ae10f1f</v>
      </c>
      <c r="GC38" t="inlineStr">
        <is>
          <t>Terry White Chemmart</t>
        </is>
      </c>
      <c r="GD38">
        <v>951850000</v>
      </c>
      <c r="GE38" t="inlineStr">
        <is>
          <t>Pending</t>
        </is>
      </c>
      <c r="GF38">
        <v>0.0000</v>
      </c>
      <c r="GG38">
        <v>0.0000</v>
      </c>
      <c r="GH38" s="3">
        <v>46122.659502314818</v>
      </c>
      <c r="GI38">
        <v>1</v>
      </c>
      <c r="GL38" t="b">
        <v>1</v>
      </c>
      <c r="GM38" t="inlineStr">
        <is>
          <t>Yes</t>
        </is>
      </c>
      <c r="GO38" s="3">
        <v>46122.659502314818</v>
      </c>
      <c r="GQ38" s="3">
        <v>45884.16542824074</v>
      </c>
      <c r="GR38" s="3">
        <v>46122.659502314818</v>
      </c>
      <c r="GS38">
        <v>1</v>
      </c>
      <c r="GT38" s="3">
        <v>45840.162314814814</v>
      </c>
      <c r="GU38" s="3">
        <v>46122.659502314818</v>
      </c>
      <c r="GV38">
        <v>1</v>
      </c>
      <c r="GY38" t="inlineStr">
        <is>
          <t>000001220911</t>
        </is>
      </c>
      <c r="HB38" t="inlineStr">
        <is>
          <t>TWC Kingston Plaza</t>
        </is>
      </c>
      <c r="HC38" t="inlineStr">
        <is>
          <t>P5R20</t>
        </is>
      </c>
      <c r="HI38">
        <v>2060.6800</v>
      </c>
      <c r="HJ38">
        <v>2060.6800</v>
      </c>
      <c r="HK38" s="3">
        <v>46122.659502314818</v>
      </c>
      <c r="HL38">
        <v>1</v>
      </c>
      <c r="HM38">
        <v>0.0000</v>
      </c>
      <c r="HN38">
        <v>0.0000</v>
      </c>
      <c r="HO38" s="3">
        <v>46122.659502314818</v>
      </c>
      <c r="HP38">
        <v>1</v>
      </c>
      <c r="HX38" t="inlineStr" s="6">
        <f>HYPERLINK("https://metagenicsd365.crm6.dynamics.com/main.aspx?etn=meta_paymentterm&amp;pagetype=entityrecord&amp;id=0768c959-38ba-eb11-8236-00224817f624","0768c959-38ba-eb11-8236-00224817f624")</f>
        <v>0768c959-38ba-eb11-8236-00224817f624</v>
      </c>
      <c r="HY38" t="inlineStr">
        <is>
          <t>Net 30 Days End of Month</t>
        </is>
      </c>
      <c r="IC38" t="inlineStr">
        <is>
          <t>TAS</t>
        </is>
      </c>
      <c r="ID38" t="inlineStr">
        <is>
          <t>Shop 8-9/24 Kingston Plaza Shopping Centre 20 Channel Highway,</t>
        </is>
      </c>
      <c r="IE38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38" t="inlineStr">
        <is>
          <t>Australia</t>
        </is>
      </c>
      <c r="IG38" t="inlineStr" s="6">
        <f>HYPERLINK("https://metagenicsd365.crm6.dynamics.com/main.aspx?etn=meta_postcode&amp;pagetype=entityrecord&amp;id=4a7aaa43-b2a7-e911-a875-000d3ae104e7","4a7aaa43-b2a7-e911-a875-000d3ae104e7")</f>
        <v>4a7aaa43-b2a7-e911-a875-000d3ae104e7</v>
      </c>
      <c r="IH38" t="inlineStr">
        <is>
          <t>7050</t>
        </is>
      </c>
      <c r="II38" t="inlineStr" s="6">
        <f>HYPERLINK("https://metagenicsd365.crm6.dynamics.com/main.aspx?etn=meta_suburb&amp;pagetype=entityrecord&amp;id=44e250e1-b5a7-e911-a875-000d3ae104e7","44e250e1-b5a7-e911-a875-000d3ae104e7")</f>
        <v>44e250e1-b5a7-e911-a875-000d3ae104e7</v>
      </c>
      <c r="IJ38" t="inlineStr">
        <is>
          <t>KINGSTON</t>
        </is>
      </c>
      <c r="IK38" t="inlineStr" s="6">
        <f>HYPERLINK("https://metagenicsd365.crm6.dynamics.com/main.aspx?etn=meta_postcode&amp;pagetype=entityrecord&amp;id=4a7aaa43-b2a7-e911-a875-000d3ae104e7","4a7aaa43-b2a7-e911-a875-000d3ae104e7")</f>
        <v>4a7aaa43-b2a7-e911-a875-000d3ae104e7</v>
      </c>
      <c r="IL38" t="inlineStr">
        <is>
          <t>7050</t>
        </is>
      </c>
      <c r="IZ38">
        <v>951850000</v>
      </c>
      <c r="JA38" t="inlineStr">
        <is>
          <t>Billing</t>
        </is>
      </c>
      <c r="JE38" t="b">
        <v>0</v>
      </c>
      <c r="JF38" t="inlineStr">
        <is>
          <t>No</t>
        </is>
      </c>
      <c r="JI38" t="inlineStr" s="6">
        <f>HYPERLINK("https://metagenicsd365.crm6.dynamics.com/main.aspx?etn=systemuser&amp;pagetype=entityrecord&amp;id=28a2bf65-7854-ea11-a813-000d3a79940e","28a2bf65-7854-ea11-a813-000d3a79940e")</f>
        <v>28a2bf65-7854-ea11-a813-000d3a79940e</v>
      </c>
      <c r="JJ38" t="inlineStr">
        <is>
          <t>Grace Li</t>
        </is>
      </c>
      <c r="JK38" t="inlineStr" s="6">
        <f>HYPERLINK("https://metagenicsd365.crm6.dynamics.com/main.aspx?etn=meta_segment&amp;pagetype=entityrecord&amp;id=62f55b6c-8030-eb11-a813-000d3ae1554c","62f55b6c-8030-eb11-a813-000d3ae1554c")</f>
        <v>62f55b6c-8030-eb11-a813-000d3ae1554c</v>
      </c>
      <c r="JL38" t="inlineStr">
        <is>
          <t>4 - Small retail pharmacy</t>
        </is>
      </c>
      <c r="JM38" t="inlineStr" s="6">
        <f>HYPERLINK("https://metagenicsd365.crm6.dynamics.com/main.aspx?etn=territory&amp;pagetype=entityrecord&amp;id=322bcde0-8030-eb11-a813-000d3ae1554c","322bcde0-8030-eb11-a813-000d3ae1554c")</f>
        <v>322bcde0-8030-eb11-a813-000d3ae1554c</v>
      </c>
      <c r="JN38" t="inlineStr">
        <is>
          <t>8R04</t>
        </is>
      </c>
      <c r="JT38">
        <v>951850002</v>
      </c>
      <c r="JU38" t="inlineStr">
        <is>
          <t>PRM - Priority Shipping</t>
        </is>
      </c>
      <c r="JY38" t="inlineStr" s="6">
        <f>HYPERLINK("https://metagenicsd365.crm6.dynamics.com/main.aspx?etn=meta_suburb&amp;pagetype=entityrecord&amp;id=44e250e1-b5a7-e911-a875-000d3ae104e7","44e250e1-b5a7-e911-a875-000d3ae104e7")</f>
        <v>44e250e1-b5a7-e911-a875-000d3ae104e7</v>
      </c>
      <c r="JZ38" t="inlineStr">
        <is>
          <t>KINGSTON</t>
        </is>
      </c>
      <c r="KB38">
        <v>2060.6800</v>
      </c>
      <c r="KC38">
        <v>2060.6800</v>
      </c>
      <c r="KD38" s="3">
        <v>46122.659502314818</v>
      </c>
      <c r="KE38">
        <v>1</v>
      </c>
      <c r="KF38">
        <v>0.0000</v>
      </c>
      <c r="KG38">
        <v>0.0000</v>
      </c>
      <c r="KH38" s="3">
        <v>46122.659502314818</v>
      </c>
      <c r="KI38">
        <v>1</v>
      </c>
      <c r="KJ38">
        <v>0.0000</v>
      </c>
      <c r="KK38">
        <v>0.0000</v>
      </c>
      <c r="KL38" s="3">
        <v>46122.659502314818</v>
      </c>
      <c r="KM38">
        <v>1</v>
      </c>
      <c r="KN38" t="b">
        <v>0</v>
      </c>
      <c r="KO38" t="inlineStr">
        <is>
          <t>No</t>
        </is>
      </c>
      <c r="KP38" t="inlineStr" s="6">
        <f>HYPERLINK("https://metagenicsd365.crm6.dynamics.com/main.aspx?etn=systemuser&amp;pagetype=entityrecord&amp;id=fa736d27-11d5-4f3a-8d2e-eb3f4909dd2e","fa736d27-11d5-4f3a-8d2e-eb3f4909dd2e")</f>
        <v>fa736d27-11d5-4f3a-8d2e-eb3f4909dd2e</v>
      </c>
      <c r="KQ38" t="inlineStr">
        <is>
          <t>SYSTEM</t>
        </is>
      </c>
      <c r="KT38" s="3">
        <v>46121.9390162037</v>
      </c>
      <c r="KU38" t="inlineStr" s="6">
        <f>HYPERLINK("https://metagenicsd365.crm6.dynamics.com/main.aspx?etn=systemuser&amp;pagetype=entityrecord&amp;id=c4de84af-624f-e911-a979-000d3ae135ff","c4de84af-624f-e911-a979-000d3ae135ff")</f>
        <v>c4de84af-624f-e911-a979-000d3ae135ff</v>
      </c>
      <c r="KV38" t="inlineStr">
        <is>
          <t>Megan Victory</t>
        </is>
      </c>
      <c r="LA38" t="b">
        <v>0</v>
      </c>
      <c r="LB38" t="inlineStr">
        <is>
          <t>No</t>
        </is>
      </c>
      <c r="LH38" t="inlineStr">
        <is>
          <t>TWC Kingston Plaza</t>
        </is>
      </c>
      <c r="LO38">
        <v>0</v>
      </c>
      <c r="LP38" s="3">
        <v>46122.659502314818</v>
      </c>
      <c r="LQ38">
        <v>1</v>
      </c>
      <c r="LR38">
        <v>0.0000</v>
      </c>
      <c r="LS38">
        <v>0.0000</v>
      </c>
      <c r="LT38" s="3">
        <v>46122.659502314818</v>
      </c>
      <c r="LU38">
        <v>1</v>
      </c>
      <c r="LY38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38" t="inlineStr">
        <is>
          <t>Australia</t>
        </is>
      </c>
      <c r="MA38" t="inlineStr">
        <is>
          <t>team</t>
        </is>
      </c>
      <c r="MD38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38" t="inlineStr">
        <is>
          <t>Australia</t>
        </is>
      </c>
      <c r="MF38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L38" t="b">
        <v>0</v>
      </c>
      <c r="MM38" t="inlineStr">
        <is>
          <t>No</t>
        </is>
      </c>
      <c r="MT38">
        <v>1</v>
      </c>
      <c r="MU38" t="inlineStr">
        <is>
          <t>Any</t>
        </is>
      </c>
      <c r="NB38" t="inlineStr" s="6">
        <f>HYPERLINK("https://metagenicsd365.crm6.dynamics.com/main.aspx?etn=contact&amp;pagetype=entityrecord&amp;id=f37747fa-3f9a-ef11-8a69-002248e2451b","f37747fa-3f9a-ef11-8a69-002248e2451b")</f>
        <v>f37747fa-3f9a-ef11-8a69-002248e2451b</v>
      </c>
      <c r="NC38" t="inlineStr">
        <is>
          <t>Ross Metzler</t>
        </is>
      </c>
      <c r="NJ38">
        <v>1</v>
      </c>
      <c r="NK38" t="inlineStr">
        <is>
          <t>Airborne</t>
        </is>
      </c>
      <c r="NR38">
        <v>0</v>
      </c>
      <c r="NS38" t="inlineStr">
        <is>
          <t>Active</t>
        </is>
      </c>
      <c r="NT38">
        <v>1</v>
      </c>
      <c r="NU38" t="inlineStr">
        <is>
          <t>Active</t>
        </is>
      </c>
      <c r="NX38" t="inlineStr">
        <is>
          <t>0362291600</t>
        </is>
      </c>
      <c r="NY38" t="inlineStr">
        <is>
          <t>0362291600</t>
        </is>
      </c>
      <c r="OA38">
        <v>1</v>
      </c>
      <c r="OB38" t="inlineStr">
        <is>
          <t>Default Value</t>
        </is>
      </c>
      <c r="OH38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38" t="inlineStr">
        <is>
          <t>Australian Dollar</t>
        </is>
      </c>
      <c r="OL38" t="inlineStr">
        <is>
          <t>0x000000003EA5D91E</t>
        </is>
      </c>
    </row>
    <row r="39">
      <c r="C39">
        <v>1</v>
      </c>
      <c r="D39" t="inlineStr">
        <is>
          <t>Default Value</t>
        </is>
      </c>
      <c r="E39" t="inlineStr" s="6">
        <f>HYPERLINK("https://metagenicsd365.crm6.dynamics.com/main.aspx?etn=account&amp;pagetype=entityrecord&amp;id=624c1677-a7fe-e911-a811-000d3a793530","624c1677-a7fe-e911-a811-000d3a793530")</f>
        <v>624c1677-a7fe-e911-a811-000d3a793530</v>
      </c>
      <c r="F39" t="inlineStr">
        <is>
          <t>000000662900</t>
        </is>
      </c>
      <c r="G39">
        <v>1</v>
      </c>
      <c r="H39" t="inlineStr">
        <is>
          <t>Default Value</t>
        </is>
      </c>
      <c r="I39" t="inlineStr" s="6">
        <f>HYPERLINK("https://metagenicsd365.crm6.dynamics.com/main.aspx?etn=account&amp;pagetype=entityrecord&amp;id=5c7ec6eb-1de0-4eef-836f-c9564cb428eb","5c7ec6eb-1de0-4eef-836f-c9564cb428eb")</f>
        <v>5c7ec6eb-1de0-4eef-836f-c9564cb428eb</v>
      </c>
      <c r="M39" t="inlineStr">
        <is>
          <t>Sunset Place
NSW</t>
        </is>
      </c>
      <c r="T39" t="inlineStr">
        <is>
          <t>Sunset Place</t>
        </is>
      </c>
      <c r="AD39" t="inlineStr">
        <is>
          <t>NSW</t>
        </is>
      </c>
      <c r="AJ39" t="inlineStr" s="6">
        <f>HYPERLINK("https://metagenicsd365.crm6.dynamics.com/main.aspx?etn=account&amp;pagetype=entityrecord&amp;id=2145aa90-fa6b-49a6-a444-28cafe9460a7","2145aa90-fa6b-49a6-a444-28cafe9460a7")</f>
        <v>2145aa90-fa6b-49a6-a444-28cafe9460a7</v>
      </c>
      <c r="AK39">
        <v>1</v>
      </c>
      <c r="AL39" t="inlineStr">
        <is>
          <t>Default Value</t>
        </is>
      </c>
      <c r="AN39" t="inlineStr">
        <is>
          <t>with Compliments
VIC</t>
        </is>
      </c>
      <c r="AR39">
        <v>1</v>
      </c>
      <c r="AS39" t="inlineStr">
        <is>
          <t>Default Value</t>
        </is>
      </c>
      <c r="AU39" t="inlineStr">
        <is>
          <t>with Compliments</t>
        </is>
      </c>
      <c r="BC39">
        <v>1</v>
      </c>
      <c r="BD39" t="inlineStr">
        <is>
          <t>Default Value</t>
        </is>
      </c>
      <c r="BE39" t="inlineStr">
        <is>
          <t>VIC</t>
        </is>
      </c>
      <c r="BU39">
        <v>1</v>
      </c>
      <c r="BV39" t="inlineStr">
        <is>
          <t>Default Value</t>
        </is>
      </c>
      <c r="BY39" t="inlineStr" s="6">
        <f>HYPERLINK("https://metagenicsd365.crm6.dynamics.com/main.aspx?etn=systemuser&amp;pagetype=entityrecord&amp;id=c4de84af-624f-e911-a979-000d3ae135ff","c4de84af-624f-e911-a979-000d3ae135ff")</f>
        <v>c4de84af-624f-e911-a979-000d3ae135ff</v>
      </c>
      <c r="BZ39" t="inlineStr">
        <is>
          <t>Megan Victory</t>
        </is>
      </c>
      <c r="CC39" s="3">
        <v>43773.086655092593</v>
      </c>
      <c r="CF39">
        <v>0.0000</v>
      </c>
      <c r="CG39">
        <v>0.0000</v>
      </c>
      <c r="CH39" t="b">
        <v>0</v>
      </c>
      <c r="CI39" t="inlineStr">
        <is>
          <t>No</t>
        </is>
      </c>
      <c r="CJ39">
        <v>1</v>
      </c>
      <c r="CK39" t="inlineStr">
        <is>
          <t>Default Value</t>
        </is>
      </c>
      <c r="CN39" t="inlineStr" s="6">
        <f>HYPERLINK("https://metagenicsd365.crm6.dynamics.com/main.aspx?etn=pricelevel&amp;pagetype=entityrecord&amp;id=10e3d934-44a7-e911-a86f-000d3ae10f1f","10e3d934-44a7-e911-a86f-000d3ae10f1f")</f>
        <v>10e3d934-44a7-e911-a86f-000d3ae10f1f</v>
      </c>
      <c r="CO39" t="inlineStr">
        <is>
          <t>Retail Products Australia</t>
        </is>
      </c>
      <c r="CQ39" t="b">
        <v>0</v>
      </c>
      <c r="CR39" t="inlineStr">
        <is>
          <t>Allow</t>
        </is>
      </c>
      <c r="CS39" t="b">
        <v>0</v>
      </c>
      <c r="CT39" t="inlineStr">
        <is>
          <t>No</t>
        </is>
      </c>
      <c r="CU39" t="b">
        <v>0</v>
      </c>
      <c r="CV39" t="inlineStr">
        <is>
          <t>Allow</t>
        </is>
      </c>
      <c r="CW39" t="b">
        <v>0</v>
      </c>
      <c r="CX39" t="inlineStr">
        <is>
          <t>Allow</t>
        </is>
      </c>
      <c r="CY39" t="b">
        <v>0</v>
      </c>
      <c r="CZ39" t="inlineStr">
        <is>
          <t>Allow</t>
        </is>
      </c>
      <c r="DA39" t="b">
        <v>0</v>
      </c>
      <c r="DB39" t="inlineStr">
        <is>
          <t>Allow</t>
        </is>
      </c>
      <c r="DC39" t="b">
        <v>0</v>
      </c>
      <c r="DD39" t="inlineStr">
        <is>
          <t>Send</t>
        </is>
      </c>
      <c r="DE39" t="inlineStr">
        <is>
          <t>fclarke@metagenics.com.au</t>
        </is>
      </c>
      <c r="DF39" t="inlineStr">
        <is>
          <t>fclarke@metagenics.com.au</t>
        </is>
      </c>
      <c r="DO39">
        <v>1.0000000000</v>
      </c>
      <c r="DQ39" t="b">
        <v>1</v>
      </c>
      <c r="DR39" t="inlineStr">
        <is>
          <t>Allow</t>
        </is>
      </c>
      <c r="EA39" t="b">
        <v>0</v>
      </c>
      <c r="EB39" t="inlineStr">
        <is>
          <t>No</t>
        </is>
      </c>
      <c r="EE39" t="b">
        <v>0</v>
      </c>
      <c r="EF39" t="inlineStr">
        <is>
          <t>No</t>
        </is>
      </c>
      <c r="EG39" t="inlineStr">
        <is>
          <t>All</t>
        </is>
      </c>
      <c r="EH39" t="inlineStr">
        <is>
          <t>100000004</t>
        </is>
      </c>
      <c r="EI39" t="inlineStr">
        <is>
          <t>Samples</t>
        </is>
      </c>
      <c r="EJ39" t="inlineStr">
        <is>
          <t>951850000</t>
        </is>
      </c>
      <c r="EK39" t="inlineStr">
        <is>
          <t>Retail</t>
        </is>
      </c>
      <c r="EL39" s="3">
        <v>44340.237291666665</v>
      </c>
      <c r="EM39" s="3">
        <v>93138.99998842593</v>
      </c>
      <c r="EO39" t="b">
        <v>1</v>
      </c>
      <c r="EP39" t="inlineStr">
        <is>
          <t>Yes</t>
        </is>
      </c>
      <c r="ES39" t="inlineStr" s="6">
        <f>HYPERLINK("https://metagenicsd365.crm6.dynamics.com/main.aspx?etn=account&amp;pagetype=entityrecord&amp;id=a02460b2-9ba7-e911-a873-000d3ae10cf1","a02460b2-9ba7-e911-a873-000d3ae10cf1")</f>
        <v>a02460b2-9ba7-e911-a873-000d3ae10cf1</v>
      </c>
      <c r="ET39" t="inlineStr">
        <is>
          <t>CLOSED T307</t>
        </is>
      </c>
      <c r="EU39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39" t="inlineStr">
        <is>
          <t>Australia</t>
        </is>
      </c>
      <c r="EW39">
        <v>951850016</v>
      </c>
      <c r="EX39" t="inlineStr">
        <is>
          <t>SMR</t>
        </is>
      </c>
      <c r="EY39" t="inlineStr" s="6">
        <f>HYPERLINK("https://metagenicsd365.crm6.dynamics.com/main.aspx?etn=meta_postcode&amp;pagetype=entityrecord&amp;id=28b29a92-b2a7-e911-a873-000d3ae10139","28b29a92-b2a7-e911-a873-000d3ae10139")</f>
        <v>28b29a92-b2a7-e911-a873-000d3ae10139</v>
      </c>
      <c r="EZ39" t="inlineStr">
        <is>
          <t>4013</t>
        </is>
      </c>
      <c r="FA39" t="inlineStr" s="6">
        <f>HYPERLINK("https://metagenicsd365.crm6.dynamics.com/main.aspx?etn=meta_suburb&amp;pagetype=entityrecord&amp;id=6cb029dd-b3a7-e911-a875-000d3ae104e7","6cb029dd-b3a7-e911-a875-000d3ae104e7")</f>
        <v>6cb029dd-b3a7-e911-a875-000d3ae104e7</v>
      </c>
      <c r="FB39" t="inlineStr">
        <is>
          <t>NORTHGATE</t>
        </is>
      </c>
      <c r="FC39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39" t="inlineStr">
        <is>
          <t>Australia</t>
        </is>
      </c>
      <c r="FE39" t="inlineStr">
        <is>
          <t>0000000000000662900</t>
        </is>
      </c>
      <c r="FM39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39" t="inlineStr">
        <is>
          <t>Australia</t>
        </is>
      </c>
      <c r="FO39" t="b">
        <v>0</v>
      </c>
      <c r="FP39" t="inlineStr">
        <is>
          <t>No</t>
        </is>
      </c>
      <c r="FQ39" t="inlineStr">
        <is>
          <t>RETON</t>
        </is>
      </c>
      <c r="FW39" t="b">
        <v>0</v>
      </c>
      <c r="FX39" t="inlineStr">
        <is>
          <t>No</t>
        </is>
      </c>
      <c r="FZ39" t="inlineStr">
        <is>
          <t>Closed</t>
        </is>
      </c>
      <c r="GA39" t="inlineStr">
        <is>
          <t>ABL2946111</t>
        </is>
      </c>
      <c r="GD39">
        <v>951850000</v>
      </c>
      <c r="GE39" t="inlineStr">
        <is>
          <t>Pending</t>
        </is>
      </c>
      <c r="GF39">
        <v>0.0000</v>
      </c>
      <c r="GG39">
        <v>0.0000</v>
      </c>
      <c r="GH39" s="3">
        <v>46122.659502314818</v>
      </c>
      <c r="GI39">
        <v>1</v>
      </c>
      <c r="GL39" t="b">
        <v>1</v>
      </c>
      <c r="GM39" t="inlineStr">
        <is>
          <t>Yes</t>
        </is>
      </c>
      <c r="GO39" s="3">
        <v>46122.659502314818</v>
      </c>
      <c r="GR39" s="3">
        <v>46122.659502314818</v>
      </c>
      <c r="GT39" s="3">
        <v>43860.000439814816</v>
      </c>
      <c r="GU39" s="3">
        <v>46122.659502314818</v>
      </c>
      <c r="GV39">
        <v>1</v>
      </c>
      <c r="GY39" t="inlineStr">
        <is>
          <t>000000662900</t>
        </is>
      </c>
      <c r="GZ39" t="inlineStr">
        <is>
          <t>M001</t>
        </is>
      </c>
      <c r="HB39" t="inlineStr">
        <is>
          <t>T307 SAMPLES FIONA CLARKE (M001)</t>
        </is>
      </c>
      <c r="HI39">
        <v>0.0000</v>
      </c>
      <c r="HJ39">
        <v>0.0000</v>
      </c>
      <c r="HK39" s="3">
        <v>46122.659502314818</v>
      </c>
      <c r="HL39">
        <v>1</v>
      </c>
      <c r="HM39">
        <v>0.0000</v>
      </c>
      <c r="HN39">
        <v>0.0000</v>
      </c>
      <c r="HO39" s="3">
        <v>46122.659502314818</v>
      </c>
      <c r="HP39">
        <v>1</v>
      </c>
      <c r="HX39" t="inlineStr" s="6">
        <f>HYPERLINK("https://metagenicsd365.crm6.dynamics.com/main.aspx?etn=meta_paymentterm&amp;pagetype=entityrecord&amp;id=0768c959-38ba-eb11-8236-00224817f624","0768c959-38ba-eb11-8236-00224817f624")</f>
        <v>0768c959-38ba-eb11-8236-00224817f624</v>
      </c>
      <c r="HY39" t="inlineStr">
        <is>
          <t>Net 30 Days End of Month</t>
        </is>
      </c>
      <c r="IC39" t="inlineStr">
        <is>
          <t>NSW</t>
        </is>
      </c>
      <c r="ID39" t="inlineStr">
        <is>
          <t>Sunset Place</t>
        </is>
      </c>
      <c r="IE39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39" t="inlineStr">
        <is>
          <t>Australia</t>
        </is>
      </c>
      <c r="IG39" t="inlineStr" s="6">
        <f>HYPERLINK("https://metagenicsd365.crm6.dynamics.com/main.aspx?etn=meta_postcode&amp;pagetype=entityrecord&amp;id=0f5c642f-b2a7-e911-a886-000d3ae106b8","0f5c642f-b2a7-e911-a886-000d3ae106b8")</f>
        <v>0f5c642f-b2a7-e911-a886-000d3ae106b8</v>
      </c>
      <c r="IH39" t="inlineStr">
        <is>
          <t>2620</t>
        </is>
      </c>
      <c r="II39" t="inlineStr" s="6">
        <f>HYPERLINK("https://metagenicsd365.crm6.dynamics.com/main.aspx?etn=meta_suburb&amp;pagetype=entityrecord&amp;id=51e250e1-b5a7-e911-a875-000d3ae104e7","51e250e1-b5a7-e911-a875-000d3ae104e7")</f>
        <v>51e250e1-b5a7-e911-a875-000d3ae104e7</v>
      </c>
      <c r="IJ39" t="inlineStr">
        <is>
          <t>GOOGONG</t>
        </is>
      </c>
      <c r="IK39" t="inlineStr" s="6">
        <f>HYPERLINK("https://metagenicsd365.crm6.dynamics.com/main.aspx?etn=meta_postcode&amp;pagetype=entityrecord&amp;id=0f5c642f-b2a7-e911-a886-000d3ae106b8","0f5c642f-b2a7-e911-a886-000d3ae106b8")</f>
        <v>0f5c642f-b2a7-e911-a886-000d3ae106b8</v>
      </c>
      <c r="IL39" t="inlineStr">
        <is>
          <t>2620</t>
        </is>
      </c>
      <c r="IZ39">
        <v>951850001</v>
      </c>
      <c r="JA39" t="inlineStr">
        <is>
          <t>Location</t>
        </is>
      </c>
      <c r="JE39" t="b">
        <v>0</v>
      </c>
      <c r="JF39" t="inlineStr">
        <is>
          <t>No</t>
        </is>
      </c>
      <c r="JI39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JJ39" t="inlineStr">
        <is>
          <t># HWORLD</t>
        </is>
      </c>
      <c r="JK39" t="inlineStr" s="6">
        <f>HYPERLINK("https://metagenicsd365.crm6.dynamics.com/main.aspx?etn=meta_segment&amp;pagetype=entityrecord&amp;id=42e3a56e-8030-eb11-a813-000d3ae15585","42e3a56e-8030-eb11-a813-000d3ae15585")</f>
        <v>42e3a56e-8030-eb11-a813-000d3ae15585</v>
      </c>
      <c r="JL39" t="inlineStr">
        <is>
          <t>8 - Non called upon</t>
        </is>
      </c>
      <c r="JM39" t="inlineStr" s="6">
        <f>HYPERLINK("https://metagenicsd365.crm6.dynamics.com/main.aspx?etn=territory&amp;pagetype=entityrecord&amp;id=c64322e5-8030-eb11-a813-000d3ae15585","c64322e5-8030-eb11-a813-000d3ae15585")</f>
        <v>c64322e5-8030-eb11-a813-000d3ae15585</v>
      </c>
      <c r="JN39" t="inlineStr">
        <is>
          <t>ARH0</t>
        </is>
      </c>
      <c r="JO39" t="inlineStr">
        <is>
          <t>http://hwndw02.healthworld.com.au/reports/report/HealthWorldAnalytics/REPORTS/CRMCustomerCardMaster?rc:Toolbar=false&amp;CustomerCodeLabel=662900_2620</t>
        </is>
      </c>
      <c r="JT39">
        <v>951850001</v>
      </c>
      <c r="JU39" t="inlineStr">
        <is>
          <t>EXP - Standard Shipping</t>
        </is>
      </c>
      <c r="JY39" t="inlineStr" s="6">
        <f>HYPERLINK("https://metagenicsd365.crm6.dynamics.com/main.aspx?etn=meta_suburb&amp;pagetype=entityrecord&amp;id=51e250e1-b5a7-e911-a875-000d3ae104e7","51e250e1-b5a7-e911-a875-000d3ae104e7")</f>
        <v>51e250e1-b5a7-e911-a875-000d3ae104e7</v>
      </c>
      <c r="JZ39" t="inlineStr">
        <is>
          <t>GOOGONG</t>
        </is>
      </c>
      <c r="KB39">
        <v>0.0000</v>
      </c>
      <c r="KC39">
        <v>0.0000</v>
      </c>
      <c r="KD39" s="3">
        <v>46122.659502314818</v>
      </c>
      <c r="KE39">
        <v>1</v>
      </c>
      <c r="KF39">
        <v>0.0000</v>
      </c>
      <c r="KG39">
        <v>0.0000</v>
      </c>
      <c r="KH39" s="3">
        <v>46122.659502314818</v>
      </c>
      <c r="KI39">
        <v>1</v>
      </c>
      <c r="KJ39">
        <v>0.0000</v>
      </c>
      <c r="KK39">
        <v>0.0000</v>
      </c>
      <c r="KL39" s="3">
        <v>46122.659502314818</v>
      </c>
      <c r="KM39">
        <v>1</v>
      </c>
      <c r="KP39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39" t="inlineStr">
        <is>
          <t>Sriganesh Subramanian</t>
        </is>
      </c>
      <c r="KT39" s="3">
        <v>46110.924675925926</v>
      </c>
      <c r="LH39" t="inlineStr">
        <is>
          <t>T307 SAMPLES FIONA CLARKE (M001)</t>
        </is>
      </c>
      <c r="LO39">
        <v>0</v>
      </c>
      <c r="LP39" s="3">
        <v>46122.659502314818</v>
      </c>
      <c r="LQ39">
        <v>1</v>
      </c>
      <c r="LR39">
        <v>0.0000</v>
      </c>
      <c r="LS39">
        <v>0.0000</v>
      </c>
      <c r="LT39" s="3">
        <v>46122.659502314818</v>
      </c>
      <c r="LU39">
        <v>1</v>
      </c>
      <c r="LY39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39" t="inlineStr">
        <is>
          <t>Australia</t>
        </is>
      </c>
      <c r="MA39" t="inlineStr">
        <is>
          <t>team</t>
        </is>
      </c>
      <c r="MD39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39" t="inlineStr">
        <is>
          <t>Australia</t>
        </is>
      </c>
      <c r="MF39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J39" t="inlineStr" s="6">
        <f>HYPERLINK("https://metagenicsd365.crm6.dynamics.com/main.aspx?etn=account&amp;pagetype=entityrecord&amp;id=a02460b2-9ba7-e911-a873-000d3ae10cf1","a02460b2-9ba7-e911-a873-000d3ae10cf1")</f>
        <v>a02460b2-9ba7-e911-a873-000d3ae10cf1</v>
      </c>
      <c r="MK39" t="inlineStr">
        <is>
          <t>CLOSED T307</t>
        </is>
      </c>
      <c r="ML39" t="b">
        <v>0</v>
      </c>
      <c r="MM39" t="inlineStr">
        <is>
          <t>No</t>
        </is>
      </c>
      <c r="MT39">
        <v>1</v>
      </c>
      <c r="MU39" t="inlineStr">
        <is>
          <t>Any</t>
        </is>
      </c>
      <c r="NJ39">
        <v>1</v>
      </c>
      <c r="NK39" t="inlineStr">
        <is>
          <t>Airborne</t>
        </is>
      </c>
      <c r="NR39">
        <v>1</v>
      </c>
      <c r="NS39" t="inlineStr">
        <is>
          <t>Inactive</t>
        </is>
      </c>
      <c r="NT39">
        <v>2</v>
      </c>
      <c r="NU39" t="inlineStr">
        <is>
          <t>Inactive</t>
        </is>
      </c>
      <c r="NX39" t="inlineStr">
        <is>
          <t>0421 098 589</t>
        </is>
      </c>
      <c r="NY39" t="inlineStr">
        <is>
          <t>0421 098 589</t>
        </is>
      </c>
      <c r="NZ39" t="inlineStr">
        <is>
          <t>0449824913</t>
        </is>
      </c>
      <c r="OA39">
        <v>1</v>
      </c>
      <c r="OB39" t="inlineStr">
        <is>
          <t>Default Value</t>
        </is>
      </c>
      <c r="OG39">
        <v>0</v>
      </c>
      <c r="OH39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39" t="inlineStr">
        <is>
          <t>Australian Dollar</t>
        </is>
      </c>
      <c r="OL39" t="inlineStr">
        <is>
          <t>0x000000003E619A24</t>
        </is>
      </c>
    </row>
    <row r="40">
      <c r="C40">
        <v>1</v>
      </c>
      <c r="D40" t="inlineStr">
        <is>
          <t>Default Value</t>
        </is>
      </c>
      <c r="E40" t="inlineStr" s="6">
        <f>HYPERLINK("https://metagenicsd365.crm6.dynamics.com/main.aspx?etn=account&amp;pagetype=entityrecord&amp;id=30bd4ab9-a8fe-e911-a811-000d3a793530","30bd4ab9-a8fe-e911-a811-000d3a793530")</f>
        <v>30bd4ab9-a8fe-e911-a811-000d3a793530</v>
      </c>
      <c r="F40" t="inlineStr">
        <is>
          <t>000000483620</t>
        </is>
      </c>
      <c r="G40">
        <v>1</v>
      </c>
      <c r="H40" t="inlineStr">
        <is>
          <t>Default Value</t>
        </is>
      </c>
      <c r="I40" t="inlineStr" s="6">
        <f>HYPERLINK("https://metagenicsd365.crm6.dynamics.com/main.aspx?etn=account&amp;pagetype=entityrecord&amp;id=ee32736f-d1e2-45e2-884a-cfdd92029372","ee32736f-d1e2-45e2-884a-cfdd92029372")</f>
        <v>ee32736f-d1e2-45e2-884a-cfdd92029372</v>
      </c>
      <c r="M40" t="inlineStr">
        <is>
          <t>32 Elmgrove Street
SA</t>
        </is>
      </c>
      <c r="T40" t="inlineStr">
        <is>
          <t>32 Elmgrove Street</t>
        </is>
      </c>
      <c r="AD40" t="inlineStr">
        <is>
          <t>SA</t>
        </is>
      </c>
      <c r="AJ40" t="inlineStr" s="6">
        <f>HYPERLINK("https://metagenicsd365.crm6.dynamics.com/main.aspx?etn=account&amp;pagetype=entityrecord&amp;id=a436f62e-cebc-46ee-a407-696acce5ef3c","a436f62e-cebc-46ee-a407-696acce5ef3c")</f>
        <v>a436f62e-cebc-46ee-a407-696acce5ef3c</v>
      </c>
      <c r="AK40">
        <v>1</v>
      </c>
      <c r="AL40" t="inlineStr">
        <is>
          <t>Default Value</t>
        </is>
      </c>
      <c r="AN40" t="inlineStr">
        <is>
          <t>QLD</t>
        </is>
      </c>
      <c r="AR40">
        <v>1</v>
      </c>
      <c r="AS40" t="inlineStr">
        <is>
          <t>Default Value</t>
        </is>
      </c>
      <c r="BC40">
        <v>1</v>
      </c>
      <c r="BD40" t="inlineStr">
        <is>
          <t>Default Value</t>
        </is>
      </c>
      <c r="BE40" t="inlineStr">
        <is>
          <t>QLD</t>
        </is>
      </c>
      <c r="BU40">
        <v>1</v>
      </c>
      <c r="BV40" t="inlineStr">
        <is>
          <t>Default Value</t>
        </is>
      </c>
      <c r="BY40" t="inlineStr" s="6">
        <f>HYPERLINK("https://metagenicsd365.crm6.dynamics.com/main.aspx?etn=systemuser&amp;pagetype=entityrecord&amp;id=c4de84af-624f-e911-a979-000d3ae135ff","c4de84af-624f-e911-a979-000d3ae135ff")</f>
        <v>c4de84af-624f-e911-a979-000d3ae135ff</v>
      </c>
      <c r="BZ40" t="inlineStr">
        <is>
          <t>Megan Victory</t>
        </is>
      </c>
      <c r="CC40" s="3">
        <v>43773.092893518522</v>
      </c>
      <c r="CH40" t="b">
        <v>0</v>
      </c>
      <c r="CI40" t="inlineStr">
        <is>
          <t>No</t>
        </is>
      </c>
      <c r="CJ40">
        <v>1</v>
      </c>
      <c r="CK40" t="inlineStr">
        <is>
          <t>Default Value</t>
        </is>
      </c>
      <c r="CN40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40" t="inlineStr">
        <is>
          <t>All Products Australia</t>
        </is>
      </c>
      <c r="CQ40" t="b">
        <v>0</v>
      </c>
      <c r="CR40" t="inlineStr">
        <is>
          <t>Allow</t>
        </is>
      </c>
      <c r="CS40" t="b">
        <v>0</v>
      </c>
      <c r="CT40" t="inlineStr">
        <is>
          <t>No</t>
        </is>
      </c>
      <c r="CU40" t="b">
        <v>0</v>
      </c>
      <c r="CV40" t="inlineStr">
        <is>
          <t>Allow</t>
        </is>
      </c>
      <c r="CW40" t="b">
        <v>0</v>
      </c>
      <c r="CX40" t="inlineStr">
        <is>
          <t>Allow</t>
        </is>
      </c>
      <c r="CY40" t="b">
        <v>0</v>
      </c>
      <c r="CZ40" t="inlineStr">
        <is>
          <t>Allow</t>
        </is>
      </c>
      <c r="DA40" t="b">
        <v>0</v>
      </c>
      <c r="DB40" t="inlineStr">
        <is>
          <t>Allow</t>
        </is>
      </c>
      <c r="DC40" t="b">
        <v>0</v>
      </c>
      <c r="DD40" t="inlineStr">
        <is>
          <t>Send</t>
        </is>
      </c>
      <c r="DF40" t="inlineStr">
        <is>
          <t>temp@notinuse.com.au</t>
        </is>
      </c>
      <c r="DO40">
        <v>1.0000000000</v>
      </c>
      <c r="DQ40" t="b">
        <v>1</v>
      </c>
      <c r="DR40" t="inlineStr">
        <is>
          <t>Allow</t>
        </is>
      </c>
      <c r="EA40" t="b">
        <v>0</v>
      </c>
      <c r="EB40" t="inlineStr">
        <is>
          <t>No</t>
        </is>
      </c>
      <c r="EE40" t="b">
        <v>0</v>
      </c>
      <c r="EF40" t="inlineStr">
        <is>
          <t>No</t>
        </is>
      </c>
      <c r="EH40" t="inlineStr">
        <is>
          <t>100000004</t>
        </is>
      </c>
      <c r="EI40" t="inlineStr">
        <is>
          <t>Samples</t>
        </is>
      </c>
      <c r="EJ40" t="inlineStr">
        <is>
          <t>951850001</t>
        </is>
      </c>
      <c r="EK40" t="inlineStr">
        <is>
          <t>Practitioner</t>
        </is>
      </c>
      <c r="EO40" t="b">
        <v>0</v>
      </c>
      <c r="EP40" t="inlineStr">
        <is>
          <t>No</t>
        </is>
      </c>
      <c r="ES40" t="inlineStr" s="6">
        <f>HYPERLINK("https://metagenicsd365.crm6.dynamics.com/main.aspx?etn=account&amp;pagetype=entityrecord&amp;id=ab8b33a8-9ba7-e911-a875-000d3ae104e7","ab8b33a8-9ba7-e911-a875-000d3ae104e7")</f>
        <v>ab8b33a8-9ba7-e911-a875-000d3ae104e7</v>
      </c>
      <c r="ET40" t="inlineStr">
        <is>
          <t>T52  SAMPLES SUE PROSSER</t>
        </is>
      </c>
      <c r="EU40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40" t="inlineStr">
        <is>
          <t>Australia</t>
        </is>
      </c>
      <c r="EW40">
        <v>951850001</v>
      </c>
      <c r="EX40" t="inlineStr">
        <is>
          <t>INA</t>
        </is>
      </c>
      <c r="EY40" t="inlineStr" s="6">
        <f>HYPERLINK("https://metagenicsd365.crm6.dynamics.com/main.aspx?etn=meta_postcode&amp;pagetype=entityrecord&amp;id=28b29a92-b2a7-e911-a873-000d3ae10139","28b29a92-b2a7-e911-a873-000d3ae10139")</f>
        <v>28b29a92-b2a7-e911-a873-000d3ae10139</v>
      </c>
      <c r="EZ40" t="inlineStr">
        <is>
          <t>4013</t>
        </is>
      </c>
      <c r="FA40" t="inlineStr" s="6">
        <f>HYPERLINK("https://metagenicsd365.crm6.dynamics.com/main.aspx?etn=meta_suburb&amp;pagetype=entityrecord&amp;id=6cb029dd-b3a7-e911-a875-000d3ae104e7","6cb029dd-b3a7-e911-a875-000d3ae104e7")</f>
        <v>6cb029dd-b3a7-e911-a875-000d3ae104e7</v>
      </c>
      <c r="FB40" t="inlineStr">
        <is>
          <t>NORTHGATE</t>
        </is>
      </c>
      <c r="FC40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40" t="inlineStr">
        <is>
          <t>Australia</t>
        </is>
      </c>
      <c r="FE40" t="inlineStr">
        <is>
          <t>0000000000000483620</t>
        </is>
      </c>
      <c r="FM40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40" t="inlineStr">
        <is>
          <t>Australia</t>
        </is>
      </c>
      <c r="FO40" t="b">
        <v>0</v>
      </c>
      <c r="FP40" t="inlineStr">
        <is>
          <t>No</t>
        </is>
      </c>
      <c r="FQ40" t="inlineStr">
        <is>
          <t>PRA01</t>
        </is>
      </c>
      <c r="FW40" t="b">
        <v>0</v>
      </c>
      <c r="FX40" t="inlineStr">
        <is>
          <t>No</t>
        </is>
      </c>
      <c r="GA40" t="inlineStr">
        <is>
          <t>M001</t>
        </is>
      </c>
      <c r="GD40">
        <v>951850000</v>
      </c>
      <c r="GE40" t="inlineStr">
        <is>
          <t>Pending</t>
        </is>
      </c>
      <c r="GF40">
        <v>617.9000</v>
      </c>
      <c r="GG40">
        <v>617.9000</v>
      </c>
      <c r="GH40" s="3">
        <v>46122.659502314818</v>
      </c>
      <c r="GI40">
        <v>1</v>
      </c>
      <c r="GJ40" t="b">
        <v>1</v>
      </c>
      <c r="GK40" t="inlineStr">
        <is>
          <t>Yes</t>
        </is>
      </c>
      <c r="GL40" t="b">
        <v>1</v>
      </c>
      <c r="GM40" t="inlineStr">
        <is>
          <t>Yes</t>
        </is>
      </c>
      <c r="GO40" s="3">
        <v>46122.659502314818</v>
      </c>
      <c r="GR40" s="3">
        <v>46122.659502314818</v>
      </c>
      <c r="GT40" s="3">
        <v>44040.13008101852</v>
      </c>
      <c r="GU40" s="3">
        <v>46122.659502314818</v>
      </c>
      <c r="GV40">
        <v>1</v>
      </c>
      <c r="GY40" t="inlineStr">
        <is>
          <t>000000483620</t>
        </is>
      </c>
      <c r="GZ40" t="inlineStr">
        <is>
          <t>M001</t>
        </is>
      </c>
      <c r="HB40" t="inlineStr">
        <is>
          <t>T52 SAMPLES - SUE PROSSER</t>
        </is>
      </c>
      <c r="HI40">
        <v>0.0000</v>
      </c>
      <c r="HJ40">
        <v>0.0000</v>
      </c>
      <c r="HK40" s="3">
        <v>46122.659502314818</v>
      </c>
      <c r="HL40">
        <v>1</v>
      </c>
      <c r="HM40">
        <v>0.0000</v>
      </c>
      <c r="HN40">
        <v>0.0000</v>
      </c>
      <c r="HO40" s="3">
        <v>46122.659502314818</v>
      </c>
      <c r="HP40">
        <v>1</v>
      </c>
      <c r="HX40" t="inlineStr" s="6">
        <f>HYPERLINK("https://metagenicsd365.crm6.dynamics.com/main.aspx?etn=meta_paymentterm&amp;pagetype=entityrecord&amp;id=09fa1132-43a7-e911-a86f-000d3ae10f1f","09fa1132-43a7-e911-a86f-000d3ae10f1f")</f>
        <v>09fa1132-43a7-e911-a86f-000d3ae10f1f</v>
      </c>
      <c r="HY40" t="inlineStr">
        <is>
          <t>30 DAY ACCOUNT</t>
        </is>
      </c>
      <c r="IK40" t="inlineStr" s="6">
        <f>HYPERLINK("https://metagenicsd365.crm6.dynamics.com/main.aspx?etn=meta_postcode&amp;pagetype=entityrecord&amp;id=ed29747f-b2a7-e911-a873-000d3ae10139","ed29747f-b2a7-e911-a873-000d3ae10139")</f>
        <v>ed29747f-b2a7-e911-a873-000d3ae10139</v>
      </c>
      <c r="IL40" t="inlineStr">
        <is>
          <t>5159</t>
        </is>
      </c>
      <c r="IM40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40" t="inlineStr">
        <is>
          <t># HWORLD</t>
        </is>
      </c>
      <c r="IO40" t="inlineStr" s="6">
        <f>HYPERLINK("https://metagenicsd365.crm6.dynamics.com/main.aspx?etn=meta_segment&amp;pagetype=entityrecord&amp;id=42e3a56e-8030-eb11-a813-000d3ae15585","42e3a56e-8030-eb11-a813-000d3ae15585")</f>
        <v>42e3a56e-8030-eb11-a813-000d3ae15585</v>
      </c>
      <c r="IP40" t="inlineStr">
        <is>
          <t>8 - Non called upon</t>
        </is>
      </c>
      <c r="IQ40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40" t="inlineStr">
        <is>
          <t>APH0</t>
        </is>
      </c>
      <c r="IS40" t="inlineStr" s="6">
        <f>HYPERLINK("https://metagenicsd365.crm6.dynamics.com/main.aspx?etn=meta_accounttradingterms&amp;pagetype=entityrecord&amp;id=1e532f35-94a9-e911-a876-000d3ae104e7","1e532f35-94a9-e911-a876-000d3ae104e7")</f>
        <v>1e532f35-94a9-e911-a876-000d3ae104e7</v>
      </c>
      <c r="IT40" t="inlineStr">
        <is>
          <t>T52 SUE PROSSER SAMPLES- BASE   </t>
        </is>
      </c>
      <c r="IZ40">
        <v>951850001</v>
      </c>
      <c r="JA40" t="inlineStr">
        <is>
          <t>Location</t>
        </is>
      </c>
      <c r="JE40" t="b">
        <v>0</v>
      </c>
      <c r="JF40" t="inlineStr">
        <is>
          <t>No</t>
        </is>
      </c>
      <c r="JI40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JJ40" t="inlineStr">
        <is>
          <t># HWORLD</t>
        </is>
      </c>
      <c r="JK40" t="inlineStr" s="6">
        <f>HYPERLINK("https://metagenicsd365.crm6.dynamics.com/main.aspx?etn=meta_segment&amp;pagetype=entityrecord&amp;id=42e3a56e-8030-eb11-a813-000d3ae15585","42e3a56e-8030-eb11-a813-000d3ae15585")</f>
        <v>42e3a56e-8030-eb11-a813-000d3ae15585</v>
      </c>
      <c r="JL40" t="inlineStr">
        <is>
          <t>8 - Non called upon</t>
        </is>
      </c>
      <c r="JM40" t="inlineStr" s="6">
        <f>HYPERLINK("https://metagenicsd365.crm6.dynamics.com/main.aspx?etn=territory&amp;pagetype=entityrecord&amp;id=c64322e5-8030-eb11-a813-000d3ae15585","c64322e5-8030-eb11-a813-000d3ae15585")</f>
        <v>c64322e5-8030-eb11-a813-000d3ae15585</v>
      </c>
      <c r="JN40" t="inlineStr">
        <is>
          <t>ARH0</t>
        </is>
      </c>
      <c r="JO40" t="inlineStr">
        <is>
          <t>http://hwndw02.healthworld.com.au/reports/report/HealthWorldAnalytics/REPORTS/CRMCustomerCardMaster?rc:Toolbar=false&amp;CustomerCodeLabel=483620_5159</t>
        </is>
      </c>
      <c r="JT40">
        <v>951850002</v>
      </c>
      <c r="JU40" t="inlineStr">
        <is>
          <t>PRM - Priority Shipping</t>
        </is>
      </c>
      <c r="JY40" t="inlineStr" s="6">
        <f>HYPERLINK("https://metagenicsd365.crm6.dynamics.com/main.aspx?etn=meta_suburb&amp;pagetype=entityrecord&amp;id=3968f334-b3a7-e911-a873-000d3ae10139","3968f334-b3a7-e911-a873-000d3ae10139")</f>
        <v>3968f334-b3a7-e911-a873-000d3ae10139</v>
      </c>
      <c r="JZ40" t="inlineStr">
        <is>
          <t>ABERFOYLE PARK</t>
        </is>
      </c>
      <c r="KB40">
        <v>0.0000</v>
      </c>
      <c r="KC40">
        <v>0.0000</v>
      </c>
      <c r="KD40" s="3">
        <v>46122.659502314818</v>
      </c>
      <c r="KE40">
        <v>1</v>
      </c>
      <c r="KF40">
        <v>0.0000</v>
      </c>
      <c r="KG40">
        <v>0.0000</v>
      </c>
      <c r="KH40" s="3">
        <v>46122.659502314818</v>
      </c>
      <c r="KI40">
        <v>1</v>
      </c>
      <c r="KJ40">
        <v>617.9000</v>
      </c>
      <c r="KK40">
        <v>617.9000</v>
      </c>
      <c r="KL40" s="3">
        <v>46122.659502314818</v>
      </c>
      <c r="KM40">
        <v>1</v>
      </c>
      <c r="KP40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40" t="inlineStr">
        <is>
          <t>Sriganesh Subramanian</t>
        </is>
      </c>
      <c r="KT40" s="3">
        <v>46035.95516203704</v>
      </c>
      <c r="LH40" t="inlineStr">
        <is>
          <t>T52 SAMPLES - SUE PROSSER</t>
        </is>
      </c>
      <c r="LO40">
        <v>0</v>
      </c>
      <c r="LP40" s="3">
        <v>46122.659502314818</v>
      </c>
      <c r="LQ40">
        <v>1</v>
      </c>
      <c r="LR40">
        <v>0.0000</v>
      </c>
      <c r="LS40">
        <v>0.0000</v>
      </c>
      <c r="LT40" s="3">
        <v>46122.659502314818</v>
      </c>
      <c r="LU40">
        <v>1</v>
      </c>
      <c r="LY40" t="inlineStr" s="6">
        <f>HYPERLINK("https://metagenicsd365.crm6.dynamics.com/main.aspx?etn=systemuser&amp;pagetype=entityrecord&amp;id=c4de84af-624f-e911-a979-000d3ae135ff","c4de84af-624f-e911-a979-000d3ae135ff")</f>
        <v>c4de84af-624f-e911-a979-000d3ae135ff</v>
      </c>
      <c r="LZ40" t="inlineStr">
        <is>
          <t>Megan Victory</t>
        </is>
      </c>
      <c r="MA40" t="inlineStr">
        <is>
          <t>systemuser</t>
        </is>
      </c>
      <c r="MD40" t="inlineStr" s="6">
        <f>HYPERLINK("https://metagenicsd365.crm6.dynamics.com/main.aspx?etn=businessunit&amp;pagetype=entityrecord&amp;id=bdec92f4-c323-e811-a841-000d3ae0e65e","bdec92f4-c323-e811-a841-000d3ae0e65e")</f>
        <v>bdec92f4-c323-e811-a841-000d3ae0e65e</v>
      </c>
      <c r="ME40" t="inlineStr">
        <is>
          <t>Metagenics D365</t>
        </is>
      </c>
      <c r="MH40" t="inlineStr" s="6">
        <f>HYPERLINK("https://metagenicsd365.crm6.dynamics.com/main.aspx?etn=systemuser&amp;pagetype=entityrecord&amp;id=c4de84af-624f-e911-a979-000d3ae135ff","c4de84af-624f-e911-a979-000d3ae135ff")</f>
        <v>c4de84af-624f-e911-a979-000d3ae135ff</v>
      </c>
      <c r="MJ40" t="inlineStr" s="6">
        <f>HYPERLINK("https://metagenicsd365.crm6.dynamics.com/main.aspx?etn=account&amp;pagetype=entityrecord&amp;id=ab8b33a8-9ba7-e911-a875-000d3ae104e7","ab8b33a8-9ba7-e911-a875-000d3ae104e7")</f>
        <v>ab8b33a8-9ba7-e911-a875-000d3ae104e7</v>
      </c>
      <c r="MK40" t="inlineStr">
        <is>
          <t>T52  SAMPLES SUE PROSSER</t>
        </is>
      </c>
      <c r="ML40" t="b">
        <v>0</v>
      </c>
      <c r="MM40" t="inlineStr">
        <is>
          <t>No</t>
        </is>
      </c>
      <c r="MT40">
        <v>1</v>
      </c>
      <c r="MU40" t="inlineStr">
        <is>
          <t>Any</t>
        </is>
      </c>
      <c r="NJ40">
        <v>1</v>
      </c>
      <c r="NK40" t="inlineStr">
        <is>
          <t>Airborne</t>
        </is>
      </c>
      <c r="NR40">
        <v>1</v>
      </c>
      <c r="NS40" t="inlineStr">
        <is>
          <t>Inactive</t>
        </is>
      </c>
      <c r="NT40">
        <v>2</v>
      </c>
      <c r="NU40" t="inlineStr">
        <is>
          <t>Inactive</t>
        </is>
      </c>
      <c r="NY40" t="inlineStr">
        <is>
          <t>0423 567 596</t>
        </is>
      </c>
      <c r="OA40">
        <v>1</v>
      </c>
      <c r="OB40" t="inlineStr">
        <is>
          <t>Default Value</t>
        </is>
      </c>
      <c r="OG40">
        <v>0</v>
      </c>
      <c r="OH40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40" t="inlineStr">
        <is>
          <t>Australian Dollar</t>
        </is>
      </c>
      <c r="OL40" t="inlineStr">
        <is>
          <t>0x000000003BF288B7</t>
        </is>
      </c>
    </row>
    <row r="41">
      <c r="C41">
        <v>1</v>
      </c>
      <c r="D41" t="inlineStr">
        <is>
          <t>Default Value</t>
        </is>
      </c>
      <c r="E41" t="inlineStr" s="6">
        <f>HYPERLINK("https://metagenicsd365.crm6.dynamics.com/main.aspx?etn=account&amp;pagetype=entityrecord&amp;id=fc97f100-aafe-e911-a811-000d3a793530","fc97f100-aafe-e911-a811-000d3a793530")</f>
        <v>fc97f100-aafe-e911-a811-000d3a793530</v>
      </c>
      <c r="F41" t="inlineStr">
        <is>
          <t>000000629590</t>
        </is>
      </c>
      <c r="G41">
        <v>1</v>
      </c>
      <c r="H41" t="inlineStr">
        <is>
          <t>Default Value</t>
        </is>
      </c>
      <c r="I41" t="inlineStr" s="6">
        <f>HYPERLINK("https://metagenicsd365.crm6.dynamics.com/main.aspx?etn=account&amp;pagetype=entityrecord&amp;id=9c54ec61-9599-4210-b799-48b8a11928f7","9c54ec61-9599-4210-b799-48b8a11928f7")</f>
        <v>9c54ec61-9599-4210-b799-48b8a11928f7</v>
      </c>
      <c r="M41" t="inlineStr">
        <is>
          <t>PO BOX 2491
QLD</t>
        </is>
      </c>
      <c r="T41" t="inlineStr">
        <is>
          <t>PO BOX 2491</t>
        </is>
      </c>
      <c r="AD41" t="inlineStr">
        <is>
          <t>QLD</t>
        </is>
      </c>
      <c r="AJ41" t="inlineStr" s="6">
        <f>HYPERLINK("https://metagenicsd365.crm6.dynamics.com/main.aspx?etn=account&amp;pagetype=entityrecord&amp;id=5c27114d-305c-4da7-8778-b9dcc3714926","5c27114d-305c-4da7-8778-b9dcc3714926")</f>
        <v>5c27114d-305c-4da7-8778-b9dcc3714926</v>
      </c>
      <c r="AK41">
        <v>1</v>
      </c>
      <c r="AL41" t="inlineStr">
        <is>
          <t>Default Value</t>
        </is>
      </c>
      <c r="AN41" t="inlineStr">
        <is>
          <t>WITH COMPLIMENTS
QLD</t>
        </is>
      </c>
      <c r="AR41">
        <v>1</v>
      </c>
      <c r="AS41" t="inlineStr">
        <is>
          <t>Default Value</t>
        </is>
      </c>
      <c r="AU41" t="inlineStr">
        <is>
          <t>WITH COMPLIMENTS</t>
        </is>
      </c>
      <c r="BC41">
        <v>1</v>
      </c>
      <c r="BD41" t="inlineStr">
        <is>
          <t>Default Value</t>
        </is>
      </c>
      <c r="BE41" t="inlineStr">
        <is>
          <t>QLD</t>
        </is>
      </c>
      <c r="BU41">
        <v>1</v>
      </c>
      <c r="BV41" t="inlineStr">
        <is>
          <t>Default Value</t>
        </is>
      </c>
      <c r="BY41" t="inlineStr" s="6">
        <f>HYPERLINK("https://metagenicsd365.crm6.dynamics.com/main.aspx?etn=systemuser&amp;pagetype=entityrecord&amp;id=c4de84af-624f-e911-a979-000d3ae135ff","c4de84af-624f-e911-a979-000d3ae135ff")</f>
        <v>c4de84af-624f-e911-a979-000d3ae135ff</v>
      </c>
      <c r="BZ41" t="inlineStr">
        <is>
          <t>Megan Victory</t>
        </is>
      </c>
      <c r="CC41" s="3">
        <v>43773.099270833336</v>
      </c>
      <c r="CH41" t="b">
        <v>0</v>
      </c>
      <c r="CI41" t="inlineStr">
        <is>
          <t>No</t>
        </is>
      </c>
      <c r="CJ41">
        <v>1</v>
      </c>
      <c r="CK41" t="inlineStr">
        <is>
          <t>Default Value</t>
        </is>
      </c>
      <c r="CN41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41" t="inlineStr">
        <is>
          <t>All Products Australia</t>
        </is>
      </c>
      <c r="CQ41" t="b">
        <v>0</v>
      </c>
      <c r="CR41" t="inlineStr">
        <is>
          <t>Allow</t>
        </is>
      </c>
      <c r="CS41" t="b">
        <v>0</v>
      </c>
      <c r="CT41" t="inlineStr">
        <is>
          <t>No</t>
        </is>
      </c>
      <c r="CU41" t="b">
        <v>0</v>
      </c>
      <c r="CV41" t="inlineStr">
        <is>
          <t>Allow</t>
        </is>
      </c>
      <c r="CW41" t="b">
        <v>0</v>
      </c>
      <c r="CX41" t="inlineStr">
        <is>
          <t>Allow</t>
        </is>
      </c>
      <c r="CY41" t="b">
        <v>0</v>
      </c>
      <c r="CZ41" t="inlineStr">
        <is>
          <t>Allow</t>
        </is>
      </c>
      <c r="DA41" t="b">
        <v>0</v>
      </c>
      <c r="DB41" t="inlineStr">
        <is>
          <t>Allow</t>
        </is>
      </c>
      <c r="DC41" t="b">
        <v>0</v>
      </c>
      <c r="DD41" t="inlineStr">
        <is>
          <t>Send</t>
        </is>
      </c>
      <c r="DF41" t="inlineStr">
        <is>
          <t>temp@notinuse.com</t>
        </is>
      </c>
      <c r="DO41">
        <v>1.0000000000</v>
      </c>
      <c r="DQ41" t="b">
        <v>1</v>
      </c>
      <c r="DR41" t="inlineStr">
        <is>
          <t>Allow</t>
        </is>
      </c>
      <c r="EA41" t="b">
        <v>0</v>
      </c>
      <c r="EB41" t="inlineStr">
        <is>
          <t>No</t>
        </is>
      </c>
      <c r="EE41" t="b">
        <v>0</v>
      </c>
      <c r="EF41" t="inlineStr">
        <is>
          <t>No</t>
        </is>
      </c>
      <c r="EJ41" t="inlineStr">
        <is>
          <t>951850000,951850001</t>
        </is>
      </c>
      <c r="EK41" t="inlineStr">
        <is>
          <t>Retail; Practitioner</t>
        </is>
      </c>
      <c r="EO41" t="b">
        <v>0</v>
      </c>
      <c r="EP41" t="inlineStr">
        <is>
          <t>No</t>
        </is>
      </c>
      <c r="ES41" t="inlineStr" s="6">
        <f>HYPERLINK("https://metagenicsd365.crm6.dynamics.com/main.aspx?etn=account&amp;pagetype=entityrecord&amp;id=69f6a5b3-9ba7-e911-a862-000d3ae10c61","69f6a5b3-9ba7-e911-a862-000d3ae10c61")</f>
        <v>69f6a5b3-9ba7-e911-a862-000d3ae10c61</v>
      </c>
      <c r="ET41" t="inlineStr">
        <is>
          <t>T403  SAMPLES M THRIEMER</t>
        </is>
      </c>
      <c r="EU41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41" t="inlineStr">
        <is>
          <t>Australia</t>
        </is>
      </c>
      <c r="EW41">
        <v>951850001</v>
      </c>
      <c r="EX41" t="inlineStr">
        <is>
          <t>INA</t>
        </is>
      </c>
      <c r="EY41" t="inlineStr" s="6">
        <f>HYPERLINK("https://metagenicsd365.crm6.dynamics.com/main.aspx?etn=meta_postcode&amp;pagetype=entityrecord&amp;id=28b29a92-b2a7-e911-a873-000d3ae10139","28b29a92-b2a7-e911-a873-000d3ae10139")</f>
        <v>28b29a92-b2a7-e911-a873-000d3ae10139</v>
      </c>
      <c r="EZ41" t="inlineStr">
        <is>
          <t>4013</t>
        </is>
      </c>
      <c r="FA41" t="inlineStr" s="6">
        <f>HYPERLINK("https://metagenicsd365.crm6.dynamics.com/main.aspx?etn=meta_suburb&amp;pagetype=entityrecord&amp;id=6cb029dd-b3a7-e911-a875-000d3ae104e7","6cb029dd-b3a7-e911-a875-000d3ae104e7")</f>
        <v>6cb029dd-b3a7-e911-a875-000d3ae104e7</v>
      </c>
      <c r="FB41" t="inlineStr">
        <is>
          <t>NORTHGATE</t>
        </is>
      </c>
      <c r="FC41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41" t="inlineStr">
        <is>
          <t>Australia</t>
        </is>
      </c>
      <c r="FE41" t="inlineStr">
        <is>
          <t>0000000000000629590</t>
        </is>
      </c>
      <c r="FM41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41" t="inlineStr">
        <is>
          <t>Australia</t>
        </is>
      </c>
      <c r="FO41" t="b">
        <v>0</v>
      </c>
      <c r="FP41" t="inlineStr">
        <is>
          <t>No</t>
        </is>
      </c>
      <c r="FQ41" t="inlineStr">
        <is>
          <t>PRA01</t>
        </is>
      </c>
      <c r="FW41" t="b">
        <v>0</v>
      </c>
      <c r="FX41" t="inlineStr">
        <is>
          <t>No</t>
        </is>
      </c>
      <c r="GA41" t="inlineStr">
        <is>
          <t>M001</t>
        </is>
      </c>
      <c r="GD41">
        <v>951850000</v>
      </c>
      <c r="GE41" t="inlineStr">
        <is>
          <t>Pending</t>
        </is>
      </c>
      <c r="GF41">
        <v>1284.4500</v>
      </c>
      <c r="GG41">
        <v>1284.4500</v>
      </c>
      <c r="GH41" s="3">
        <v>46122.659502314818</v>
      </c>
      <c r="GI41">
        <v>1</v>
      </c>
      <c r="GJ41" t="b">
        <v>1</v>
      </c>
      <c r="GK41" t="inlineStr">
        <is>
          <t>Yes</t>
        </is>
      </c>
      <c r="GL41" t="b">
        <v>1</v>
      </c>
      <c r="GM41" t="inlineStr">
        <is>
          <t>Yes</t>
        </is>
      </c>
      <c r="GO41" s="3">
        <v>46122.659502314818</v>
      </c>
      <c r="GR41" s="3">
        <v>46122.659502314818</v>
      </c>
      <c r="GT41" s="3">
        <v>44062.205127314817</v>
      </c>
      <c r="GU41" s="3">
        <v>46122.659502314818</v>
      </c>
      <c r="GV41">
        <v>1</v>
      </c>
      <c r="GY41" t="inlineStr">
        <is>
          <t>000000629590</t>
        </is>
      </c>
      <c r="GZ41" t="inlineStr">
        <is>
          <t>M001</t>
        </is>
      </c>
      <c r="HB41" t="inlineStr">
        <is>
          <t>T403 SAMPLES - MELISSA THRIEMER</t>
        </is>
      </c>
      <c r="HI41">
        <v>0.0000</v>
      </c>
      <c r="HJ41">
        <v>0.0000</v>
      </c>
      <c r="HK41" s="3">
        <v>46122.659502314818</v>
      </c>
      <c r="HL41">
        <v>1</v>
      </c>
      <c r="HM41">
        <v>0.0000</v>
      </c>
      <c r="HN41">
        <v>0.0000</v>
      </c>
      <c r="HO41" s="3">
        <v>46122.659502314818</v>
      </c>
      <c r="HP41">
        <v>1</v>
      </c>
      <c r="HX41" t="inlineStr" s="6">
        <f>HYPERLINK("https://metagenicsd365.crm6.dynamics.com/main.aspx?etn=meta_paymentterm&amp;pagetype=entityrecord&amp;id=09fa1132-43a7-e911-a86f-000d3ae10f1f","09fa1132-43a7-e911-a86f-000d3ae10f1f")</f>
        <v>09fa1132-43a7-e911-a86f-000d3ae10f1f</v>
      </c>
      <c r="HY41" t="inlineStr">
        <is>
          <t>30 DAY ACCOUNT</t>
        </is>
      </c>
      <c r="IK41" t="inlineStr" s="6">
        <f>HYPERLINK("https://metagenicsd365.crm6.dynamics.com/main.aspx?etn=meta_postcode&amp;pagetype=entityrecord&amp;id=0c94543b-b2a7-e911-a886-000d3ae106b8","0c94543b-b2a7-e911-a886-000d3ae106b8")</f>
        <v>0c94543b-b2a7-e911-a886-000d3ae106b8</v>
      </c>
      <c r="IL41" t="inlineStr">
        <is>
          <t>4005</t>
        </is>
      </c>
      <c r="IM41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41" t="inlineStr">
        <is>
          <t># HWORLD</t>
        </is>
      </c>
      <c r="IO41" t="inlineStr" s="6">
        <f>HYPERLINK("https://metagenicsd365.crm6.dynamics.com/main.aspx?etn=meta_segment&amp;pagetype=entityrecord&amp;id=42e3a56e-8030-eb11-a813-000d3ae15585","42e3a56e-8030-eb11-a813-000d3ae15585")</f>
        <v>42e3a56e-8030-eb11-a813-000d3ae15585</v>
      </c>
      <c r="IP41" t="inlineStr">
        <is>
          <t>8 - Non called upon</t>
        </is>
      </c>
      <c r="IQ41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41" t="inlineStr">
        <is>
          <t>APH0</t>
        </is>
      </c>
      <c r="IS41" t="inlineStr" s="6">
        <f>HYPERLINK("https://metagenicsd365.crm6.dynamics.com/main.aspx?etn=meta_accounttradingterms&amp;pagetype=entityrecord&amp;id=2d909435-96a9-e911-a874-000d3ae10cf1","2d909435-96a9-e911-a874-000d3ae10cf1")</f>
        <v>2d909435-96a9-e911-a874-000d3ae10cf1</v>
      </c>
      <c r="IT41" t="inlineStr">
        <is>
          <t>T403  MELISSA THRIEMER - SAMPLES- BASE   </t>
        </is>
      </c>
      <c r="IZ41">
        <v>951850001</v>
      </c>
      <c r="JA41" t="inlineStr">
        <is>
          <t>Location</t>
        </is>
      </c>
      <c r="JE41" t="b">
        <v>0</v>
      </c>
      <c r="JF41" t="inlineStr">
        <is>
          <t>No</t>
        </is>
      </c>
      <c r="JI41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JJ41" t="inlineStr">
        <is>
          <t># HWORLD</t>
        </is>
      </c>
      <c r="JK41" t="inlineStr" s="6">
        <f>HYPERLINK("https://metagenicsd365.crm6.dynamics.com/main.aspx?etn=meta_segment&amp;pagetype=entityrecord&amp;id=42e3a56e-8030-eb11-a813-000d3ae15585","42e3a56e-8030-eb11-a813-000d3ae15585")</f>
        <v>42e3a56e-8030-eb11-a813-000d3ae15585</v>
      </c>
      <c r="JL41" t="inlineStr">
        <is>
          <t>8 - Non called upon</t>
        </is>
      </c>
      <c r="JM41" t="inlineStr" s="6">
        <f>HYPERLINK("https://metagenicsd365.crm6.dynamics.com/main.aspx?etn=territory&amp;pagetype=entityrecord&amp;id=c64322e5-8030-eb11-a813-000d3ae15585","c64322e5-8030-eb11-a813-000d3ae15585")</f>
        <v>c64322e5-8030-eb11-a813-000d3ae15585</v>
      </c>
      <c r="JN41" t="inlineStr">
        <is>
          <t>ARH0</t>
        </is>
      </c>
      <c r="JO41" t="inlineStr">
        <is>
          <t>http://hwndw02.healthworld.com.au/reports/report/HealthWorldAnalytics/REPORTS/CRMCustomerCardMaster?rc:Toolbar=false&amp;CustomerCodeLabel=629590_4005</t>
        </is>
      </c>
      <c r="JT41">
        <v>951850000</v>
      </c>
      <c r="JU41" t="inlineStr">
        <is>
          <t>POS</t>
        </is>
      </c>
      <c r="JY41" t="inlineStr" s="6">
        <f>HYPERLINK("https://metagenicsd365.crm6.dynamics.com/main.aspx?etn=meta_suburb&amp;pagetype=entityrecord&amp;id=a5a99598-b4a7-e911-a873-000d3ae10cf1","a5a99598-b4a7-e911-a873-000d3ae10cf1")</f>
        <v>a5a99598-b4a7-e911-a873-000d3ae10cf1</v>
      </c>
      <c r="JZ41" t="inlineStr">
        <is>
          <t>NEW FARM</t>
        </is>
      </c>
      <c r="KB41">
        <v>0.0000</v>
      </c>
      <c r="KC41">
        <v>0.0000</v>
      </c>
      <c r="KD41" s="3">
        <v>46122.659502314818</v>
      </c>
      <c r="KE41">
        <v>1</v>
      </c>
      <c r="KF41">
        <v>0.0000</v>
      </c>
      <c r="KG41">
        <v>0.0000</v>
      </c>
      <c r="KH41" s="3">
        <v>46122.659502314818</v>
      </c>
      <c r="KI41">
        <v>1</v>
      </c>
      <c r="KJ41">
        <v>1284.4500</v>
      </c>
      <c r="KK41">
        <v>1284.4500</v>
      </c>
      <c r="KL41" s="3">
        <v>46122.659502314818</v>
      </c>
      <c r="KM41">
        <v>1</v>
      </c>
      <c r="KP41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41" t="inlineStr">
        <is>
          <t>Sriganesh Subramanian</t>
        </is>
      </c>
      <c r="KT41" s="3">
        <v>46035.95516203704</v>
      </c>
      <c r="LH41" t="inlineStr">
        <is>
          <t>T403 SAMPLES MELISSA THRIEMER</t>
        </is>
      </c>
      <c r="LO41">
        <v>0</v>
      </c>
      <c r="LP41" s="3">
        <v>46122.659502314818</v>
      </c>
      <c r="LQ41">
        <v>1</v>
      </c>
      <c r="LR41">
        <v>0.0000</v>
      </c>
      <c r="LS41">
        <v>0.0000</v>
      </c>
      <c r="LT41" s="3">
        <v>46122.659502314818</v>
      </c>
      <c r="LU41">
        <v>1</v>
      </c>
      <c r="LY41" t="inlineStr" s="6">
        <f>HYPERLINK("https://metagenicsd365.crm6.dynamics.com/main.aspx?etn=systemuser&amp;pagetype=entityrecord&amp;id=c4de84af-624f-e911-a979-000d3ae135ff","c4de84af-624f-e911-a979-000d3ae135ff")</f>
        <v>c4de84af-624f-e911-a979-000d3ae135ff</v>
      </c>
      <c r="LZ41" t="inlineStr">
        <is>
          <t>Megan Victory</t>
        </is>
      </c>
      <c r="MA41" t="inlineStr">
        <is>
          <t>systemuser</t>
        </is>
      </c>
      <c r="MD41" t="inlineStr" s="6">
        <f>HYPERLINK("https://metagenicsd365.crm6.dynamics.com/main.aspx?etn=businessunit&amp;pagetype=entityrecord&amp;id=bdec92f4-c323-e811-a841-000d3ae0e65e","bdec92f4-c323-e811-a841-000d3ae0e65e")</f>
        <v>bdec92f4-c323-e811-a841-000d3ae0e65e</v>
      </c>
      <c r="ME41" t="inlineStr">
        <is>
          <t>Metagenics D365</t>
        </is>
      </c>
      <c r="MH41" t="inlineStr" s="6">
        <f>HYPERLINK("https://metagenicsd365.crm6.dynamics.com/main.aspx?etn=systemuser&amp;pagetype=entityrecord&amp;id=c4de84af-624f-e911-a979-000d3ae135ff","c4de84af-624f-e911-a979-000d3ae135ff")</f>
        <v>c4de84af-624f-e911-a979-000d3ae135ff</v>
      </c>
      <c r="MJ41" t="inlineStr" s="6">
        <f>HYPERLINK("https://metagenicsd365.crm6.dynamics.com/main.aspx?etn=account&amp;pagetype=entityrecord&amp;id=69f6a5b3-9ba7-e911-a862-000d3ae10c61","69f6a5b3-9ba7-e911-a862-000d3ae10c61")</f>
        <v>69f6a5b3-9ba7-e911-a862-000d3ae10c61</v>
      </c>
      <c r="MK41" t="inlineStr">
        <is>
          <t>T403  SAMPLES M THRIEMER</t>
        </is>
      </c>
      <c r="ML41" t="b">
        <v>0</v>
      </c>
      <c r="MM41" t="inlineStr">
        <is>
          <t>No</t>
        </is>
      </c>
      <c r="MT41">
        <v>1</v>
      </c>
      <c r="MU41" t="inlineStr">
        <is>
          <t>Any</t>
        </is>
      </c>
      <c r="NJ41">
        <v>1</v>
      </c>
      <c r="NK41" t="inlineStr">
        <is>
          <t>Airborne</t>
        </is>
      </c>
      <c r="NR41">
        <v>1</v>
      </c>
      <c r="NS41" t="inlineStr">
        <is>
          <t>Inactive</t>
        </is>
      </c>
      <c r="NT41">
        <v>2</v>
      </c>
      <c r="NU41" t="inlineStr">
        <is>
          <t>Inactive</t>
        </is>
      </c>
      <c r="NX41" t="inlineStr">
        <is>
          <t>0466 731 043</t>
        </is>
      </c>
      <c r="NY41" t="inlineStr">
        <is>
          <t>0466 731 043</t>
        </is>
      </c>
      <c r="NZ41" t="inlineStr">
        <is>
          <t>0466 731 043</t>
        </is>
      </c>
      <c r="OA41">
        <v>1</v>
      </c>
      <c r="OB41" t="inlineStr">
        <is>
          <t>Default Value</t>
        </is>
      </c>
      <c r="OG41">
        <v>0</v>
      </c>
      <c r="OH41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41" t="inlineStr">
        <is>
          <t>Australian Dollar</t>
        </is>
      </c>
      <c r="OL41" t="inlineStr">
        <is>
          <t>0x000000003BF288B8</t>
        </is>
      </c>
    </row>
    <row r="42">
      <c r="C42">
        <v>1</v>
      </c>
      <c r="D42" t="inlineStr">
        <is>
          <t>Default Value</t>
        </is>
      </c>
      <c r="E42" t="inlineStr" s="6">
        <f>HYPERLINK("https://metagenicsd365.crm6.dynamics.com/main.aspx?etn=account&amp;pagetype=entityrecord&amp;id=d5ef778c-4900-ea11-a811-000d3a793530","d5ef778c-4900-ea11-a811-000d3a793530")</f>
        <v>d5ef778c-4900-ea11-a811-000d3a793530</v>
      </c>
      <c r="F42" t="inlineStr">
        <is>
          <t>000000082885</t>
        </is>
      </c>
      <c r="G42">
        <v>1</v>
      </c>
      <c r="H42" t="inlineStr">
        <is>
          <t>Default Value</t>
        </is>
      </c>
      <c r="I42" t="inlineStr" s="6">
        <f>HYPERLINK("https://metagenicsd365.crm6.dynamics.com/main.aspx?etn=account&amp;pagetype=entityrecord&amp;id=46f6e8b5-dbe4-4cdf-a9b5-f3e2cb68f87c","46f6e8b5-dbe4-4cdf-a9b5-f3e2cb68f87c")</f>
        <v>46f6e8b5-dbe4-4cdf-a9b5-f3e2cb68f87c</v>
      </c>
      <c r="M42" t="inlineStr">
        <is>
          <t>Suite 5 Level 1 402-410 Chapel Road
NSW</t>
        </is>
      </c>
      <c r="T42" t="inlineStr">
        <is>
          <t>Suite 5 Level 1 402-410 Chapel Road</t>
        </is>
      </c>
      <c r="AD42" t="inlineStr">
        <is>
          <t>NSW</t>
        </is>
      </c>
      <c r="AE42" t="inlineStr">
        <is>
          <t>02 9791 0039</t>
        </is>
      </c>
      <c r="AJ42" t="inlineStr" s="6">
        <f>HYPERLINK("https://metagenicsd365.crm6.dynamics.com/main.aspx?etn=account&amp;pagetype=entityrecord&amp;id=74865835-a2c9-4d4a-8607-37a522caad2a","74865835-a2c9-4d4a-8607-37a522caad2a")</f>
        <v>74865835-a2c9-4d4a-8607-37a522caad2a</v>
      </c>
      <c r="AK42">
        <v>1</v>
      </c>
      <c r="AL42" t="inlineStr">
        <is>
          <t>Default Value</t>
        </is>
      </c>
      <c r="AN42" t="inlineStr">
        <is>
          <t>Suite 5 Level 1 402-410 Chapel Road
NSW</t>
        </is>
      </c>
      <c r="AR42">
        <v>1</v>
      </c>
      <c r="AS42" t="inlineStr">
        <is>
          <t>Default Value</t>
        </is>
      </c>
      <c r="AU42" t="inlineStr">
        <is>
          <t>Suite 5 Level 1 402-410 Chapel Road</t>
        </is>
      </c>
      <c r="BC42">
        <v>1</v>
      </c>
      <c r="BD42" t="inlineStr">
        <is>
          <t>Default Value</t>
        </is>
      </c>
      <c r="BE42" t="inlineStr">
        <is>
          <t>NSW</t>
        </is>
      </c>
      <c r="BU42">
        <v>1</v>
      </c>
      <c r="BV42" t="inlineStr">
        <is>
          <t>Default Value</t>
        </is>
      </c>
      <c r="BY42" t="inlineStr" s="6">
        <f>HYPERLINK("https://metagenicsd365.crm6.dynamics.com/main.aspx?etn=systemuser&amp;pagetype=entityrecord&amp;id=c4de84af-624f-e911-a979-000d3ae135ff","c4de84af-624f-e911-a979-000d3ae135ff")</f>
        <v>c4de84af-624f-e911-a979-000d3ae135ff</v>
      </c>
      <c r="BZ42" t="inlineStr">
        <is>
          <t>Megan Victory</t>
        </is>
      </c>
      <c r="CC42" s="3">
        <v>43775.1649537037</v>
      </c>
      <c r="CF42">
        <v>1000.0000</v>
      </c>
      <c r="CG42">
        <v>1000.0000</v>
      </c>
      <c r="CH42" t="b">
        <v>0</v>
      </c>
      <c r="CI42" t="inlineStr">
        <is>
          <t>No</t>
        </is>
      </c>
      <c r="CJ42">
        <v>1</v>
      </c>
      <c r="CK42" t="inlineStr">
        <is>
          <t>Default Value</t>
        </is>
      </c>
      <c r="CN42" t="inlineStr" s="6">
        <f>HYPERLINK("https://metagenicsd365.crm6.dynamics.com/main.aspx?etn=pricelevel&amp;pagetype=entityrecord&amp;id=10e3d934-44a7-e911-a86f-000d3ae10f1f","10e3d934-44a7-e911-a86f-000d3ae10f1f")</f>
        <v>10e3d934-44a7-e911-a86f-000d3ae10f1f</v>
      </c>
      <c r="CO42" t="inlineStr">
        <is>
          <t>Retail Products Australia</t>
        </is>
      </c>
      <c r="CP42" t="inlineStr">
        <is>
          <t>ABN 33 616 430 105</t>
        </is>
      </c>
      <c r="CQ42" t="b">
        <v>0</v>
      </c>
      <c r="CR42" t="inlineStr">
        <is>
          <t>Allow</t>
        </is>
      </c>
      <c r="CS42" t="b">
        <v>0</v>
      </c>
      <c r="CT42" t="inlineStr">
        <is>
          <t>No</t>
        </is>
      </c>
      <c r="CU42" t="b">
        <v>0</v>
      </c>
      <c r="CV42" t="inlineStr">
        <is>
          <t>Allow</t>
        </is>
      </c>
      <c r="CW42" t="b">
        <v>0</v>
      </c>
      <c r="CX42" t="inlineStr">
        <is>
          <t>Allow</t>
        </is>
      </c>
      <c r="CY42" t="b">
        <v>0</v>
      </c>
      <c r="CZ42" t="inlineStr">
        <is>
          <t>Allow</t>
        </is>
      </c>
      <c r="DA42" t="b">
        <v>0</v>
      </c>
      <c r="DB42" t="inlineStr">
        <is>
          <t>Allow</t>
        </is>
      </c>
      <c r="DC42" t="b">
        <v>0</v>
      </c>
      <c r="DD42" t="inlineStr">
        <is>
          <t>Send</t>
        </is>
      </c>
      <c r="DE42" t="inlineStr">
        <is>
          <t>accounts@pharmacycollective.com.au</t>
        </is>
      </c>
      <c r="DF42" t="inlineStr">
        <is>
          <t>accounts@pharmacycollective.com.au</t>
        </is>
      </c>
      <c r="DO42">
        <v>1.0000000000</v>
      </c>
      <c r="DQ42" t="b">
        <v>1</v>
      </c>
      <c r="DR42" t="inlineStr">
        <is>
          <t>Allow</t>
        </is>
      </c>
      <c r="EA42" t="b">
        <v>0</v>
      </c>
      <c r="EB42" t="inlineStr">
        <is>
          <t>No</t>
        </is>
      </c>
      <c r="EE42" t="b">
        <v>0</v>
      </c>
      <c r="EF42" t="inlineStr">
        <is>
          <t>No</t>
        </is>
      </c>
      <c r="EG42" t="inlineStr">
        <is>
          <t>No</t>
        </is>
      </c>
      <c r="EJ42" t="inlineStr">
        <is>
          <t>951850000</t>
        </is>
      </c>
      <c r="EK42" t="inlineStr">
        <is>
          <t>Retail</t>
        </is>
      </c>
      <c r="EN42" t="inlineStr">
        <is>
          <t>Retail</t>
        </is>
      </c>
      <c r="EO42" t="b">
        <v>0</v>
      </c>
      <c r="EP42" t="inlineStr">
        <is>
          <t>No</t>
        </is>
      </c>
      <c r="EQ42" t="inlineStr">
        <is>
          <t>Yes</t>
        </is>
      </c>
      <c r="ER42" t="inlineStr">
        <is>
          <t>https://metagenicscorpaus.sharepoint.com/:f:/s/TMsRETAIL/Es7CDHDU0ABFgitG887D9NgBH9NbWSPyEgBObBQC_3Setw?e=WT3SEW</t>
        </is>
      </c>
      <c r="EU42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42" t="inlineStr">
        <is>
          <t>Australia</t>
        </is>
      </c>
      <c r="EW42">
        <v>951850014</v>
      </c>
      <c r="EX42" t="inlineStr">
        <is>
          <t>RETON</t>
        </is>
      </c>
      <c r="EY42" t="inlineStr" s="6">
        <f>HYPERLINK("https://metagenicsd365.crm6.dynamics.com/main.aspx?etn=meta_postcode&amp;pagetype=entityrecord&amp;id=3b78b23d-b2a7-e911-a86f-000d3ae10f1f","3b78b23d-b2a7-e911-a86f-000d3ae10f1f")</f>
        <v>3b78b23d-b2a7-e911-a86f-000d3ae10f1f</v>
      </c>
      <c r="EZ42" t="inlineStr">
        <is>
          <t>2200</t>
        </is>
      </c>
      <c r="FA42" t="inlineStr" s="6">
        <f>HYPERLINK("https://metagenicsd365.crm6.dynamics.com/main.aspx?etn=meta_suburb&amp;pagetype=entityrecord&amp;id=a802cc32-b4a7-e911-a886-000d3ae106b8","a802cc32-b4a7-e911-a886-000d3ae106b8")</f>
        <v>a802cc32-b4a7-e911-a886-000d3ae106b8</v>
      </c>
      <c r="FB42" t="inlineStr">
        <is>
          <t>BANKSTOWN</t>
        </is>
      </c>
      <c r="FC42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42" t="inlineStr">
        <is>
          <t>Australia</t>
        </is>
      </c>
      <c r="FE42" t="inlineStr">
        <is>
          <t>0000000000000082885</t>
        </is>
      </c>
      <c r="FM42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42" t="inlineStr">
        <is>
          <t>Australia</t>
        </is>
      </c>
      <c r="FO42" t="b">
        <v>0</v>
      </c>
      <c r="FP42" t="inlineStr">
        <is>
          <t>No</t>
        </is>
      </c>
      <c r="FQ42" t="inlineStr">
        <is>
          <t>RETON</t>
        </is>
      </c>
      <c r="FW42" t="b">
        <v>0</v>
      </c>
      <c r="FX42" t="inlineStr">
        <is>
          <t>No</t>
        </is>
      </c>
      <c r="GA42" t="inlineStr">
        <is>
          <t>ABL3083059</t>
        </is>
      </c>
      <c r="GB42" t="inlineStr" s="6">
        <f>HYPERLINK("https://metagenicsd365.crm6.dynamics.com/main.aspx?etn=meta_group&amp;pagetype=entityrecord&amp;id=cdca82f8-b1a7-e911-a886-000d3ae106b8","cdca82f8-b1a7-e911-a886-000d3ae106b8")</f>
        <v>cdca82f8-b1a7-e911-a886-000d3ae106b8</v>
      </c>
      <c r="GC42" t="inlineStr">
        <is>
          <t>Pharmacy 4 Less</t>
        </is>
      </c>
      <c r="GD42">
        <v>951850000</v>
      </c>
      <c r="GE42" t="inlineStr">
        <is>
          <t>Pending</t>
        </is>
      </c>
      <c r="GF42">
        <v>0.0000</v>
      </c>
      <c r="GG42">
        <v>0.0000</v>
      </c>
      <c r="GH42" s="3">
        <v>46122.659502314818</v>
      </c>
      <c r="GI42">
        <v>1</v>
      </c>
      <c r="GL42" t="b">
        <v>1</v>
      </c>
      <c r="GM42" t="inlineStr">
        <is>
          <t>Yes</t>
        </is>
      </c>
      <c r="GO42" s="3">
        <v>46122.659502314818</v>
      </c>
      <c r="GR42" s="3">
        <v>46122.659502314818</v>
      </c>
      <c r="GU42" s="3">
        <v>46122.659502314818</v>
      </c>
      <c r="GY42" t="inlineStr">
        <is>
          <t>000000082885</t>
        </is>
      </c>
      <c r="HB42" t="inlineStr">
        <is>
          <t>EZZEDIN  P/L PHARM COLLECTIVE DOCKLANDS</t>
        </is>
      </c>
      <c r="HC42" t="inlineStr">
        <is>
          <t>P0R20</t>
        </is>
      </c>
      <c r="HI42">
        <v>0.0000</v>
      </c>
      <c r="HJ42">
        <v>0.0000</v>
      </c>
      <c r="HK42" s="3">
        <v>46122.659502314818</v>
      </c>
      <c r="HL42">
        <v>1</v>
      </c>
      <c r="HM42">
        <v>0.0000</v>
      </c>
      <c r="HN42">
        <v>0.0000</v>
      </c>
      <c r="HO42" s="3">
        <v>46122.659502314818</v>
      </c>
      <c r="HP42">
        <v>1</v>
      </c>
      <c r="HX42" t="inlineStr" s="6">
        <f>HYPERLINK("https://metagenicsd365.crm6.dynamics.com/main.aspx?etn=meta_paymentterm&amp;pagetype=entityrecord&amp;id=0768c959-38ba-eb11-8236-00224817f624","0768c959-38ba-eb11-8236-00224817f624")</f>
        <v>0768c959-38ba-eb11-8236-00224817f624</v>
      </c>
      <c r="HY42" t="inlineStr">
        <is>
          <t>Net 30 Days End of Month</t>
        </is>
      </c>
      <c r="IC42" t="inlineStr">
        <is>
          <t>NSW</t>
        </is>
      </c>
      <c r="ID42" t="inlineStr">
        <is>
          <t>Suite 5 Level 1 402-410 Chapel Road</t>
        </is>
      </c>
      <c r="IE42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42" t="inlineStr">
        <is>
          <t>Australia</t>
        </is>
      </c>
      <c r="IG42" t="inlineStr" s="6">
        <f>HYPERLINK("https://metagenicsd365.crm6.dynamics.com/main.aspx?etn=meta_postcode&amp;pagetype=entityrecord&amp;id=3b78b23d-b2a7-e911-a86f-000d3ae10f1f","3b78b23d-b2a7-e911-a86f-000d3ae10f1f")</f>
        <v>3b78b23d-b2a7-e911-a86f-000d3ae10f1f</v>
      </c>
      <c r="IH42" t="inlineStr">
        <is>
          <t>2200</t>
        </is>
      </c>
      <c r="II42" t="inlineStr" s="6">
        <f>HYPERLINK("https://metagenicsd365.crm6.dynamics.com/main.aspx?etn=meta_suburb&amp;pagetype=entityrecord&amp;id=a802cc32-b4a7-e911-a886-000d3ae106b8","a802cc32-b4a7-e911-a886-000d3ae106b8")</f>
        <v>a802cc32-b4a7-e911-a886-000d3ae106b8</v>
      </c>
      <c r="IJ42" t="inlineStr">
        <is>
          <t>BANKSTOWN</t>
        </is>
      </c>
      <c r="IK42" t="inlineStr" s="6">
        <f>HYPERLINK("https://metagenicsd365.crm6.dynamics.com/main.aspx?etn=meta_postcode&amp;pagetype=entityrecord&amp;id=3b78b23d-b2a7-e911-a86f-000d3ae10f1f","3b78b23d-b2a7-e911-a86f-000d3ae10f1f")</f>
        <v>3b78b23d-b2a7-e911-a86f-000d3ae10f1f</v>
      </c>
      <c r="IL42" t="inlineStr">
        <is>
          <t>2200</t>
        </is>
      </c>
      <c r="IZ42">
        <v>951850000</v>
      </c>
      <c r="JA42" t="inlineStr">
        <is>
          <t>Billing</t>
        </is>
      </c>
      <c r="JE42" t="b">
        <v>0</v>
      </c>
      <c r="JF42" t="inlineStr">
        <is>
          <t>No</t>
        </is>
      </c>
      <c r="JI42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JJ42" t="inlineStr">
        <is>
          <t># HWORLD</t>
        </is>
      </c>
      <c r="JK42" t="inlineStr" s="6">
        <f>HYPERLINK("https://metagenicsd365.crm6.dynamics.com/main.aspx?etn=meta_segment&amp;pagetype=entityrecord&amp;id=42e3a56e-8030-eb11-a813-000d3ae15585","42e3a56e-8030-eb11-a813-000d3ae15585")</f>
        <v>42e3a56e-8030-eb11-a813-000d3ae15585</v>
      </c>
      <c r="JL42" t="inlineStr">
        <is>
          <t>8 - Non called upon</t>
        </is>
      </c>
      <c r="JM42" t="inlineStr" s="6">
        <f>HYPERLINK("https://metagenicsd365.crm6.dynamics.com/main.aspx?etn=territory&amp;pagetype=entityrecord&amp;id=c64322e5-8030-eb11-a813-000d3ae15585","c64322e5-8030-eb11-a813-000d3ae15585")</f>
        <v>c64322e5-8030-eb11-a813-000d3ae15585</v>
      </c>
      <c r="JN42" t="inlineStr">
        <is>
          <t>ARH0</t>
        </is>
      </c>
      <c r="JO42" t="inlineStr">
        <is>
          <t>http://hwndw02.healthworld.com.au/reports/report/HealthWorldAnalytics/REPORTS/CRMCustomerCardMaster?rc:Toolbar=false&amp;CustomerCodeLabel=82885_2200</t>
        </is>
      </c>
      <c r="JT42">
        <v>951850001</v>
      </c>
      <c r="JU42" t="inlineStr">
        <is>
          <t>EXP - Standard Shipping</t>
        </is>
      </c>
      <c r="JY42" t="inlineStr" s="6">
        <f>HYPERLINK("https://metagenicsd365.crm6.dynamics.com/main.aspx?etn=meta_suburb&amp;pagetype=entityrecord&amp;id=a802cc32-b4a7-e911-a886-000d3ae106b8","a802cc32-b4a7-e911-a886-000d3ae106b8")</f>
        <v>a802cc32-b4a7-e911-a886-000d3ae106b8</v>
      </c>
      <c r="JZ42" t="inlineStr">
        <is>
          <t>BANKSTOWN</t>
        </is>
      </c>
      <c r="KB42">
        <v>0.0000</v>
      </c>
      <c r="KC42">
        <v>0.0000</v>
      </c>
      <c r="KD42" s="3">
        <v>46122.659502314818</v>
      </c>
      <c r="KE42">
        <v>1</v>
      </c>
      <c r="KF42">
        <v>0.0000</v>
      </c>
      <c r="KG42">
        <v>0.0000</v>
      </c>
      <c r="KH42" s="3">
        <v>46122.659502314818</v>
      </c>
      <c r="KI42">
        <v>1</v>
      </c>
      <c r="KJ42">
        <v>0.0000</v>
      </c>
      <c r="KK42">
        <v>0.0000</v>
      </c>
      <c r="KL42" s="3">
        <v>46122.659502314818</v>
      </c>
      <c r="KM42">
        <v>1</v>
      </c>
      <c r="KP42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42" t="inlineStr">
        <is>
          <t>Sriganesh Subramanian</t>
        </is>
      </c>
      <c r="KT42" s="3">
        <v>46035.95</v>
      </c>
      <c r="LH42" t="inlineStr">
        <is>
          <t>EZZEDIN  P/L PHARM COLLECTIVE DOCKLANDS</t>
        </is>
      </c>
      <c r="LO42">
        <v>0</v>
      </c>
      <c r="LP42" s="3">
        <v>46122.659502314818</v>
      </c>
      <c r="LQ42">
        <v>1</v>
      </c>
      <c r="LR42">
        <v>0.0000</v>
      </c>
      <c r="LS42">
        <v>0.0000</v>
      </c>
      <c r="LT42" s="3">
        <v>46122.659502314818</v>
      </c>
      <c r="LU42">
        <v>1</v>
      </c>
      <c r="LY42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42" t="inlineStr">
        <is>
          <t>Australia</t>
        </is>
      </c>
      <c r="MA42" t="inlineStr">
        <is>
          <t>team</t>
        </is>
      </c>
      <c r="MD42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42" t="inlineStr">
        <is>
          <t>Australia</t>
        </is>
      </c>
      <c r="MF42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L42" t="b">
        <v>0</v>
      </c>
      <c r="MM42" t="inlineStr">
        <is>
          <t>No</t>
        </is>
      </c>
      <c r="MT42">
        <v>1</v>
      </c>
      <c r="MU42" t="inlineStr">
        <is>
          <t>Any</t>
        </is>
      </c>
      <c r="NB42" t="inlineStr" s="6">
        <f>HYPERLINK("https://metagenicsd365.crm6.dynamics.com/main.aspx?etn=contact&amp;pagetype=entityrecord&amp;id=d10269a6-84fe-e911-a811-000d3a794392","d10269a6-84fe-e911-a811-000d3a794392")</f>
        <v>d10269a6-84fe-e911-a811-000d3a794392</v>
      </c>
      <c r="NC42" t="inlineStr">
        <is>
          <t>RAMI AL-SHARAWNEH</t>
        </is>
      </c>
      <c r="NJ42">
        <v>1</v>
      </c>
      <c r="NK42" t="inlineStr">
        <is>
          <t>Airborne</t>
        </is>
      </c>
      <c r="NR42">
        <v>0</v>
      </c>
      <c r="NS42" t="inlineStr">
        <is>
          <t>Active</t>
        </is>
      </c>
      <c r="NT42">
        <v>1</v>
      </c>
      <c r="NU42" t="inlineStr">
        <is>
          <t>Active</t>
        </is>
      </c>
      <c r="NX42" t="inlineStr">
        <is>
          <t>02 9791 0039</t>
        </is>
      </c>
      <c r="NY42" t="inlineStr">
        <is>
          <t>02 9791 0039</t>
        </is>
      </c>
      <c r="NZ42" t="inlineStr">
        <is>
          <t>02 9791 0039</t>
        </is>
      </c>
      <c r="OA42">
        <v>1</v>
      </c>
      <c r="OB42" t="inlineStr">
        <is>
          <t>Default Value</t>
        </is>
      </c>
      <c r="OH42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42" t="inlineStr">
        <is>
          <t>Australian Dollar</t>
        </is>
      </c>
      <c r="OL42" t="inlineStr">
        <is>
          <t>0x000000003BEB1B95</t>
        </is>
      </c>
    </row>
    <row r="43">
      <c r="C43">
        <v>1</v>
      </c>
      <c r="D43" t="inlineStr">
        <is>
          <t>Default Value</t>
        </is>
      </c>
      <c r="E43" t="inlineStr" s="6">
        <f>HYPERLINK("https://metagenicsd365.crm6.dynamics.com/main.aspx?etn=account&amp;pagetype=entityrecord&amp;id=bcbfd636-4a00-ea11-a811-000d3a793530","bcbfd636-4a00-ea11-a811-000d3a793530")</f>
        <v>bcbfd636-4a00-ea11-a811-000d3a793530</v>
      </c>
      <c r="F43" t="inlineStr">
        <is>
          <t>000000082885</t>
        </is>
      </c>
      <c r="G43">
        <v>1</v>
      </c>
      <c r="H43" t="inlineStr">
        <is>
          <t>Default Value</t>
        </is>
      </c>
      <c r="I43" t="inlineStr" s="6">
        <f>HYPERLINK("https://metagenicsd365.crm6.dynamics.com/main.aspx?etn=account&amp;pagetype=entityrecord&amp;id=6fa0a4a4-0dc6-4d25-a5ed-0818a8429c9f","6fa0a4a4-0dc6-4d25-a5ed-0818a8429c9f")</f>
        <v>6fa0a4a4-0dc6-4d25-a5ed-0818a8429c9f</v>
      </c>
      <c r="M43" t="inlineStr">
        <is>
          <t>Tenancy 2 The Supermarket Hall District
VIC</t>
        </is>
      </c>
      <c r="T43" t="inlineStr">
        <is>
          <t>Tenancy 2 The Supermarket Hall District</t>
        </is>
      </c>
      <c r="AD43" t="inlineStr">
        <is>
          <t>VIC</t>
        </is>
      </c>
      <c r="AJ43" t="inlineStr" s="6">
        <f>HYPERLINK("https://metagenicsd365.crm6.dynamics.com/main.aspx?etn=account&amp;pagetype=entityrecord&amp;id=40ddf966-d68d-485e-9540-0d9fe528027e","40ddf966-d68d-485e-9540-0d9fe528027e")</f>
        <v>40ddf966-d68d-485e-9540-0d9fe528027e</v>
      </c>
      <c r="AK43">
        <v>1</v>
      </c>
      <c r="AL43" t="inlineStr">
        <is>
          <t>Default Value</t>
        </is>
      </c>
      <c r="AN43" t="inlineStr">
        <is>
          <t>Suite 5 Level 1 402-410 Chapel Road
NSW</t>
        </is>
      </c>
      <c r="AR43">
        <v>1</v>
      </c>
      <c r="AS43" t="inlineStr">
        <is>
          <t>Default Value</t>
        </is>
      </c>
      <c r="AU43" t="inlineStr">
        <is>
          <t>Suite 5 Level 1 402-410 Chapel Road</t>
        </is>
      </c>
      <c r="BC43">
        <v>1</v>
      </c>
      <c r="BD43" t="inlineStr">
        <is>
          <t>Default Value</t>
        </is>
      </c>
      <c r="BE43" t="inlineStr">
        <is>
          <t>NSW</t>
        </is>
      </c>
      <c r="BU43">
        <v>1</v>
      </c>
      <c r="BV43" t="inlineStr">
        <is>
          <t>Default Value</t>
        </is>
      </c>
      <c r="BY43" t="inlineStr" s="6">
        <f>HYPERLINK("https://metagenicsd365.crm6.dynamics.com/main.aspx?etn=systemuser&amp;pagetype=entityrecord&amp;id=c4de84af-624f-e911-a979-000d3ae135ff","c4de84af-624f-e911-a979-000d3ae135ff")</f>
        <v>c4de84af-624f-e911-a979-000d3ae135ff</v>
      </c>
      <c r="BZ43" t="inlineStr">
        <is>
          <t>Megan Victory</t>
        </is>
      </c>
      <c r="CC43" s="3">
        <v>43775.168263888889</v>
      </c>
      <c r="CF43">
        <v>0.0000</v>
      </c>
      <c r="CG43">
        <v>0.0000</v>
      </c>
      <c r="CH43" t="b">
        <v>0</v>
      </c>
      <c r="CI43" t="inlineStr">
        <is>
          <t>No</t>
        </is>
      </c>
      <c r="CJ43">
        <v>1</v>
      </c>
      <c r="CK43" t="inlineStr">
        <is>
          <t>Default Value</t>
        </is>
      </c>
      <c r="CN43" t="inlineStr" s="6">
        <f>HYPERLINK("https://metagenicsd365.crm6.dynamics.com/main.aspx?etn=pricelevel&amp;pagetype=entityrecord&amp;id=10e3d934-44a7-e911-a86f-000d3ae10f1f","10e3d934-44a7-e911-a86f-000d3ae10f1f")</f>
        <v>10e3d934-44a7-e911-a86f-000d3ae10f1f</v>
      </c>
      <c r="CO43" t="inlineStr">
        <is>
          <t>Retail Products Australia</t>
        </is>
      </c>
      <c r="CQ43" t="b">
        <v>0</v>
      </c>
      <c r="CR43" t="inlineStr">
        <is>
          <t>Allow</t>
        </is>
      </c>
      <c r="CS43" t="b">
        <v>0</v>
      </c>
      <c r="CT43" t="inlineStr">
        <is>
          <t>No</t>
        </is>
      </c>
      <c r="CU43" t="b">
        <v>0</v>
      </c>
      <c r="CV43" t="inlineStr">
        <is>
          <t>Allow</t>
        </is>
      </c>
      <c r="CW43" t="b">
        <v>0</v>
      </c>
      <c r="CX43" t="inlineStr">
        <is>
          <t>Allow</t>
        </is>
      </c>
      <c r="CY43" t="b">
        <v>0</v>
      </c>
      <c r="CZ43" t="inlineStr">
        <is>
          <t>Allow</t>
        </is>
      </c>
      <c r="DA43" t="b">
        <v>0</v>
      </c>
      <c r="DB43" t="inlineStr">
        <is>
          <t>Allow</t>
        </is>
      </c>
      <c r="DC43" t="b">
        <v>0</v>
      </c>
      <c r="DD43" t="inlineStr">
        <is>
          <t>Send</t>
        </is>
      </c>
      <c r="DE43" t="inlineStr">
        <is>
          <t>accounts@pharmacycollective.com.au</t>
        </is>
      </c>
      <c r="DF43" t="inlineStr">
        <is>
          <t>accounts@pharmacycollective.com.au</t>
        </is>
      </c>
      <c r="DO43">
        <v>1.0000000000</v>
      </c>
      <c r="DQ43" t="b">
        <v>1</v>
      </c>
      <c r="DR43" t="inlineStr">
        <is>
          <t>Allow</t>
        </is>
      </c>
      <c r="EA43" t="b">
        <v>0</v>
      </c>
      <c r="EB43" t="inlineStr">
        <is>
          <t>No</t>
        </is>
      </c>
      <c r="EE43" t="b">
        <v>0</v>
      </c>
      <c r="EF43" t="inlineStr">
        <is>
          <t>No</t>
        </is>
      </c>
      <c r="EJ43" t="inlineStr">
        <is>
          <t>951850000</t>
        </is>
      </c>
      <c r="EK43" t="inlineStr">
        <is>
          <t>Retail</t>
        </is>
      </c>
      <c r="EL43" s="3">
        <v>44342.647465277776</v>
      </c>
      <c r="EM43" s="3">
        <v>93138.99998842593</v>
      </c>
      <c r="EO43" t="b">
        <v>0</v>
      </c>
      <c r="EP43" t="inlineStr">
        <is>
          <t>No</t>
        </is>
      </c>
      <c r="ER43" t="inlineStr">
        <is>
          <t>https://metagenicscorpaus.sharepoint.com/:f:/s/TMsRETAIL/Es7CDHDU0ABFgitG887D9NgBH9NbWSPyEgBObBQC_3Setw?e=WT3SEW</t>
        </is>
      </c>
      <c r="ES43" t="inlineStr" s="6">
        <f>HYPERLINK("https://metagenicsd365.crm6.dynamics.com/main.aspx?etn=account&amp;pagetype=entityrecord&amp;id=d5ef778c-4900-ea11-a811-000d3a793530","d5ef778c-4900-ea11-a811-000d3a793530")</f>
        <v>d5ef778c-4900-ea11-a811-000d3a793530</v>
      </c>
      <c r="ET43" t="inlineStr">
        <is>
          <t>EZZEDIN  P/L PHARM COLLECTIVE DOCKLANDS</t>
        </is>
      </c>
      <c r="EU43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43" t="inlineStr">
        <is>
          <t>Australia</t>
        </is>
      </c>
      <c r="EW43">
        <v>951850014</v>
      </c>
      <c r="EX43" t="inlineStr">
        <is>
          <t>RETON</t>
        </is>
      </c>
      <c r="EY43" t="inlineStr" s="6">
        <f>HYPERLINK("https://metagenicsd365.crm6.dynamics.com/main.aspx?etn=meta_postcode&amp;pagetype=entityrecord&amp;id=3b78b23d-b2a7-e911-a86f-000d3ae10f1f","3b78b23d-b2a7-e911-a86f-000d3ae10f1f")</f>
        <v>3b78b23d-b2a7-e911-a86f-000d3ae10f1f</v>
      </c>
      <c r="EZ43" t="inlineStr">
        <is>
          <t>2200</t>
        </is>
      </c>
      <c r="FA43" t="inlineStr" s="6">
        <f>HYPERLINK("https://metagenicsd365.crm6.dynamics.com/main.aspx?etn=meta_suburb&amp;pagetype=entityrecord&amp;id=a802cc32-b4a7-e911-a886-000d3ae106b8","a802cc32-b4a7-e911-a886-000d3ae106b8")</f>
        <v>a802cc32-b4a7-e911-a886-000d3ae106b8</v>
      </c>
      <c r="FB43" t="inlineStr">
        <is>
          <t>BANKSTOWN</t>
        </is>
      </c>
      <c r="FC43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43" t="inlineStr">
        <is>
          <t>Australia</t>
        </is>
      </c>
      <c r="FE43" t="inlineStr">
        <is>
          <t>0000000000000082885</t>
        </is>
      </c>
      <c r="FM43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43" t="inlineStr">
        <is>
          <t>Australia</t>
        </is>
      </c>
      <c r="FO43" t="b">
        <v>0</v>
      </c>
      <c r="FP43" t="inlineStr">
        <is>
          <t>No</t>
        </is>
      </c>
      <c r="FQ43" t="inlineStr">
        <is>
          <t>RETON</t>
        </is>
      </c>
      <c r="FW43" t="b">
        <v>0</v>
      </c>
      <c r="FX43" t="inlineStr">
        <is>
          <t>No</t>
        </is>
      </c>
      <c r="GA43" t="inlineStr">
        <is>
          <t>ABL3085016</t>
        </is>
      </c>
      <c r="GB43" t="inlineStr" s="6">
        <f>HYPERLINK("https://metagenicsd365.crm6.dynamics.com/main.aspx?etn=meta_group&amp;pagetype=entityrecord&amp;id=cdca82f8-b1a7-e911-a886-000d3ae106b8","cdca82f8-b1a7-e911-a886-000d3ae106b8")</f>
        <v>cdca82f8-b1a7-e911-a886-000d3ae106b8</v>
      </c>
      <c r="GC43" t="inlineStr">
        <is>
          <t>Pharmacy 4 Less</t>
        </is>
      </c>
      <c r="GD43">
        <v>951850000</v>
      </c>
      <c r="GE43" t="inlineStr">
        <is>
          <t>Pending</t>
        </is>
      </c>
      <c r="GF43">
        <v>0.0000</v>
      </c>
      <c r="GG43">
        <v>0.0000</v>
      </c>
      <c r="GH43" s="3">
        <v>46122.659502314818</v>
      </c>
      <c r="GI43">
        <v>1</v>
      </c>
      <c r="GL43" t="b">
        <v>1</v>
      </c>
      <c r="GM43" t="inlineStr">
        <is>
          <t>Yes</t>
        </is>
      </c>
      <c r="GO43" s="3">
        <v>46122.659502314818</v>
      </c>
      <c r="GR43" s="3">
        <v>46122.659502314818</v>
      </c>
      <c r="GU43" s="3">
        <v>46122.659502314818</v>
      </c>
      <c r="GY43" t="inlineStr">
        <is>
          <t>000000082885</t>
        </is>
      </c>
      <c r="GZ43" t="inlineStr">
        <is>
          <t>M001</t>
        </is>
      </c>
      <c r="HB43" t="inlineStr">
        <is>
          <t>EZZEDIN  P/L PHARMACY COLLECTIV (M001)</t>
        </is>
      </c>
      <c r="HI43">
        <v>0.0000</v>
      </c>
      <c r="HJ43">
        <v>0.0000</v>
      </c>
      <c r="HK43" s="3">
        <v>46122.659502314818</v>
      </c>
      <c r="HL43">
        <v>1</v>
      </c>
      <c r="HM43">
        <v>0.0000</v>
      </c>
      <c r="HN43">
        <v>0.0000</v>
      </c>
      <c r="HO43" s="3">
        <v>46122.659502314818</v>
      </c>
      <c r="HP43">
        <v>1</v>
      </c>
      <c r="HX43" t="inlineStr" s="6">
        <f>HYPERLINK("https://metagenicsd365.crm6.dynamics.com/main.aspx?etn=meta_paymentterm&amp;pagetype=entityrecord&amp;id=0768c959-38ba-eb11-8236-00224817f624","0768c959-38ba-eb11-8236-00224817f624")</f>
        <v>0768c959-38ba-eb11-8236-00224817f624</v>
      </c>
      <c r="HY43" t="inlineStr">
        <is>
          <t>Net 30 Days End of Month</t>
        </is>
      </c>
      <c r="IC43" t="inlineStr">
        <is>
          <t>VIC</t>
        </is>
      </c>
      <c r="ID43" t="inlineStr">
        <is>
          <t>Tenancy 2 The Supermarket Hall District</t>
        </is>
      </c>
      <c r="IE43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43" t="inlineStr">
        <is>
          <t>Australia</t>
        </is>
      </c>
      <c r="IG43" t="inlineStr" s="6">
        <f>HYPERLINK("https://metagenicsd365.crm6.dynamics.com/main.aspx?etn=meta_postcode&amp;pagetype=entityrecord&amp;id=2ce7b937-b2a7-e911-a86f-000d3ae10f1f","2ce7b937-b2a7-e911-a86f-000d3ae10f1f")</f>
        <v>2ce7b937-b2a7-e911-a86f-000d3ae10f1f</v>
      </c>
      <c r="IH43" t="inlineStr">
        <is>
          <t>3008</t>
        </is>
      </c>
      <c r="II43" t="inlineStr" s="6">
        <f>HYPERLINK("https://metagenicsd365.crm6.dynamics.com/main.aspx?etn=meta_suburb&amp;pagetype=entityrecord&amp;id=2e7e569f-b4a7-e911-a873-000d3ae10cf1","2e7e569f-b4a7-e911-a873-000d3ae10cf1")</f>
        <v>2e7e569f-b4a7-e911-a873-000d3ae10cf1</v>
      </c>
      <c r="IJ43" t="inlineStr">
        <is>
          <t>DOCKLANDS</t>
        </is>
      </c>
      <c r="IK43" t="inlineStr" s="6">
        <f>HYPERLINK("https://metagenicsd365.crm6.dynamics.com/main.aspx?etn=meta_postcode&amp;pagetype=entityrecord&amp;id=2ce7b937-b2a7-e911-a86f-000d3ae10f1f","2ce7b937-b2a7-e911-a86f-000d3ae10f1f")</f>
        <v>2ce7b937-b2a7-e911-a86f-000d3ae10f1f</v>
      </c>
      <c r="IL43" t="inlineStr">
        <is>
          <t>3008</t>
        </is>
      </c>
      <c r="IZ43">
        <v>951850001</v>
      </c>
      <c r="JA43" t="inlineStr">
        <is>
          <t>Location</t>
        </is>
      </c>
      <c r="JE43" t="b">
        <v>0</v>
      </c>
      <c r="JF43" t="inlineStr">
        <is>
          <t>No</t>
        </is>
      </c>
      <c r="JI43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JJ43" t="inlineStr">
        <is>
          <t># HWORLD</t>
        </is>
      </c>
      <c r="JK43" t="inlineStr" s="6">
        <f>HYPERLINK("https://metagenicsd365.crm6.dynamics.com/main.aspx?etn=meta_segment&amp;pagetype=entityrecord&amp;id=42e3a56e-8030-eb11-a813-000d3ae15585","42e3a56e-8030-eb11-a813-000d3ae15585")</f>
        <v>42e3a56e-8030-eb11-a813-000d3ae15585</v>
      </c>
      <c r="JL43" t="inlineStr">
        <is>
          <t>8 - Non called upon</t>
        </is>
      </c>
      <c r="JM43" t="inlineStr" s="6">
        <f>HYPERLINK("https://metagenicsd365.crm6.dynamics.com/main.aspx?etn=territory&amp;pagetype=entityrecord&amp;id=c64322e5-8030-eb11-a813-000d3ae15585","c64322e5-8030-eb11-a813-000d3ae15585")</f>
        <v>c64322e5-8030-eb11-a813-000d3ae15585</v>
      </c>
      <c r="JN43" t="inlineStr">
        <is>
          <t>ARH0</t>
        </is>
      </c>
      <c r="JT43">
        <v>951850001</v>
      </c>
      <c r="JU43" t="inlineStr">
        <is>
          <t>EXP - Standard Shipping</t>
        </is>
      </c>
      <c r="JY43" t="inlineStr" s="6">
        <f>HYPERLINK("https://metagenicsd365.crm6.dynamics.com/main.aspx?etn=meta_suburb&amp;pagetype=entityrecord&amp;id=2e7e569f-b4a7-e911-a873-000d3ae10cf1","2e7e569f-b4a7-e911-a873-000d3ae10cf1")</f>
        <v>2e7e569f-b4a7-e911-a873-000d3ae10cf1</v>
      </c>
      <c r="JZ43" t="inlineStr">
        <is>
          <t>DOCKLANDS</t>
        </is>
      </c>
      <c r="KB43">
        <v>0.0000</v>
      </c>
      <c r="KC43">
        <v>0.0000</v>
      </c>
      <c r="KD43" s="3">
        <v>46122.659502314818</v>
      </c>
      <c r="KE43">
        <v>1</v>
      </c>
      <c r="KF43">
        <v>0.0000</v>
      </c>
      <c r="KG43">
        <v>0.0000</v>
      </c>
      <c r="KH43" s="3">
        <v>46122.659502314818</v>
      </c>
      <c r="KI43">
        <v>1</v>
      </c>
      <c r="KJ43">
        <v>0.0000</v>
      </c>
      <c r="KK43">
        <v>0.0000</v>
      </c>
      <c r="KL43" s="3">
        <v>46122.659502314818</v>
      </c>
      <c r="KM43">
        <v>1</v>
      </c>
      <c r="KP43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43" t="inlineStr">
        <is>
          <t>Sriganesh Subramanian</t>
        </is>
      </c>
      <c r="KT43" s="3">
        <v>46035.95</v>
      </c>
      <c r="LH43" t="inlineStr">
        <is>
          <t>EZZEDIN  P/L PHARMACY COLLECTIV (M001)</t>
        </is>
      </c>
      <c r="LO43">
        <v>0</v>
      </c>
      <c r="LP43" s="3">
        <v>46122.659502314818</v>
      </c>
      <c r="LQ43">
        <v>1</v>
      </c>
      <c r="LR43">
        <v>0.0000</v>
      </c>
      <c r="LS43">
        <v>0.0000</v>
      </c>
      <c r="LT43" s="3">
        <v>46122.659502314818</v>
      </c>
      <c r="LU43">
        <v>1</v>
      </c>
      <c r="LY43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43" t="inlineStr">
        <is>
          <t>Australia</t>
        </is>
      </c>
      <c r="MA43" t="inlineStr">
        <is>
          <t>team</t>
        </is>
      </c>
      <c r="MD43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43" t="inlineStr">
        <is>
          <t>Australia</t>
        </is>
      </c>
      <c r="MF43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J43" t="inlineStr" s="6">
        <f>HYPERLINK("https://metagenicsd365.crm6.dynamics.com/main.aspx?etn=account&amp;pagetype=entityrecord&amp;id=d5ef778c-4900-ea11-a811-000d3a793530","d5ef778c-4900-ea11-a811-000d3a793530")</f>
        <v>d5ef778c-4900-ea11-a811-000d3a793530</v>
      </c>
      <c r="MK43" t="inlineStr">
        <is>
          <t>EZZEDIN  P/L PHARM COLLECTIVE DOCKLANDS</t>
        </is>
      </c>
      <c r="ML43" t="b">
        <v>0</v>
      </c>
      <c r="MM43" t="inlineStr">
        <is>
          <t>No</t>
        </is>
      </c>
      <c r="MT43">
        <v>1</v>
      </c>
      <c r="MU43" t="inlineStr">
        <is>
          <t>Any</t>
        </is>
      </c>
      <c r="NJ43">
        <v>1</v>
      </c>
      <c r="NK43" t="inlineStr">
        <is>
          <t>Airborne</t>
        </is>
      </c>
      <c r="NR43">
        <v>0</v>
      </c>
      <c r="NS43" t="inlineStr">
        <is>
          <t>Active</t>
        </is>
      </c>
      <c r="NT43">
        <v>1</v>
      </c>
      <c r="NU43" t="inlineStr">
        <is>
          <t>Active</t>
        </is>
      </c>
      <c r="NX43" t="inlineStr">
        <is>
          <t>02 9791 0039</t>
        </is>
      </c>
      <c r="NY43" t="inlineStr">
        <is>
          <t>02 9791 0039</t>
        </is>
      </c>
      <c r="NZ43" t="inlineStr">
        <is>
          <t>02 9791 0039</t>
        </is>
      </c>
      <c r="OA43">
        <v>1</v>
      </c>
      <c r="OB43" t="inlineStr">
        <is>
          <t>Default Value</t>
        </is>
      </c>
      <c r="OG43">
        <v>0</v>
      </c>
      <c r="OH43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43" t="inlineStr">
        <is>
          <t>Australian Dollar</t>
        </is>
      </c>
      <c r="OL43" t="inlineStr">
        <is>
          <t>0x000000003BEB1BAD</t>
        </is>
      </c>
    </row>
    <row r="44">
      <c r="C44">
        <v>1</v>
      </c>
      <c r="D44" t="inlineStr">
        <is>
          <t>Default Value</t>
        </is>
      </c>
      <c r="E44" t="inlineStr" s="6">
        <f>HYPERLINK("https://metagenicsd365.crm6.dynamics.com/main.aspx?etn=account&amp;pagetype=entityrecord&amp;id=49e8f1bf-f600-ea11-a811-000d3a793530","49e8f1bf-f600-ea11-a811-000d3a793530")</f>
        <v>49e8f1bf-f600-ea11-a811-000d3a793530</v>
      </c>
      <c r="F44" t="inlineStr">
        <is>
          <t>000000082886</t>
        </is>
      </c>
      <c r="G44">
        <v>1</v>
      </c>
      <c r="H44" t="inlineStr">
        <is>
          <t>Default Value</t>
        </is>
      </c>
      <c r="I44" t="inlineStr" s="6">
        <f>HYPERLINK("https://metagenicsd365.crm6.dynamics.com/main.aspx?etn=account&amp;pagetype=entityrecord&amp;id=bb528dae-c1aa-4e53-8b96-9448ea9a9cdd","bb528dae-c1aa-4e53-8b96-9448ea9a9cdd")</f>
        <v>bb528dae-c1aa-4e53-8b96-9448ea9a9cdd</v>
      </c>
      <c r="M44" t="inlineStr">
        <is>
          <t>Suite 3 1 Waverley Road
VIC</t>
        </is>
      </c>
      <c r="T44" t="inlineStr">
        <is>
          <t>Suite 3 1 Waverley Road</t>
        </is>
      </c>
      <c r="AD44" t="inlineStr">
        <is>
          <t>VIC</t>
        </is>
      </c>
      <c r="AE44" t="inlineStr">
        <is>
          <t>03 5282 1200</t>
        </is>
      </c>
      <c r="AJ44" t="inlineStr" s="6">
        <f>HYPERLINK("https://metagenicsd365.crm6.dynamics.com/main.aspx?etn=account&amp;pagetype=entityrecord&amp;id=5f2fcc24-a09e-4a34-a5c0-393b33d4ef52","5f2fcc24-a09e-4a34-a5c0-393b33d4ef52")</f>
        <v>5f2fcc24-a09e-4a34-a5c0-393b33d4ef52</v>
      </c>
      <c r="AK44">
        <v>1</v>
      </c>
      <c r="AL44" t="inlineStr">
        <is>
          <t>Default Value</t>
        </is>
      </c>
      <c r="AN44" t="inlineStr">
        <is>
          <t>Suite 3 1 Waverley Road
VIC</t>
        </is>
      </c>
      <c r="AR44">
        <v>1</v>
      </c>
      <c r="AS44" t="inlineStr">
        <is>
          <t>Default Value</t>
        </is>
      </c>
      <c r="AU44" t="inlineStr">
        <is>
          <t>Suite 3 1 Waverley Road</t>
        </is>
      </c>
      <c r="BC44">
        <v>1</v>
      </c>
      <c r="BD44" t="inlineStr">
        <is>
          <t>Default Value</t>
        </is>
      </c>
      <c r="BE44" t="inlineStr">
        <is>
          <t>VIC</t>
        </is>
      </c>
      <c r="BU44">
        <v>1</v>
      </c>
      <c r="BV44" t="inlineStr">
        <is>
          <t>Default Value</t>
        </is>
      </c>
      <c r="BY44" t="inlineStr" s="6">
        <f>HYPERLINK("https://metagenicsd365.crm6.dynamics.com/main.aspx?etn=systemuser&amp;pagetype=entityrecord&amp;id=c4de84af-624f-e911-a979-000d3ae135ff","c4de84af-624f-e911-a979-000d3ae135ff")</f>
        <v>c4de84af-624f-e911-a979-000d3ae135ff</v>
      </c>
      <c r="BZ44" t="inlineStr">
        <is>
          <t>Megan Victory</t>
        </is>
      </c>
      <c r="CC44" s="3">
        <v>43776.025983796295</v>
      </c>
      <c r="CF44">
        <v>1000.0000</v>
      </c>
      <c r="CG44">
        <v>1000.0000</v>
      </c>
      <c r="CH44" t="b">
        <v>0</v>
      </c>
      <c r="CI44" t="inlineStr">
        <is>
          <t>No</t>
        </is>
      </c>
      <c r="CJ44">
        <v>1</v>
      </c>
      <c r="CK44" t="inlineStr">
        <is>
          <t>Default Value</t>
        </is>
      </c>
      <c r="CN44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44" t="inlineStr">
        <is>
          <t>All Products Australia</t>
        </is>
      </c>
      <c r="CQ44" t="b">
        <v>0</v>
      </c>
      <c r="CR44" t="inlineStr">
        <is>
          <t>Allow</t>
        </is>
      </c>
      <c r="CS44" t="b">
        <v>0</v>
      </c>
      <c r="CT44" t="inlineStr">
        <is>
          <t>No</t>
        </is>
      </c>
      <c r="CU44" t="b">
        <v>0</v>
      </c>
      <c r="CV44" t="inlineStr">
        <is>
          <t>Allow</t>
        </is>
      </c>
      <c r="CW44" t="b">
        <v>0</v>
      </c>
      <c r="CX44" t="inlineStr">
        <is>
          <t>Allow</t>
        </is>
      </c>
      <c r="CY44" t="b">
        <v>0</v>
      </c>
      <c r="CZ44" t="inlineStr">
        <is>
          <t>Allow</t>
        </is>
      </c>
      <c r="DA44" t="b">
        <v>0</v>
      </c>
      <c r="DB44" t="inlineStr">
        <is>
          <t>Allow</t>
        </is>
      </c>
      <c r="DC44" t="b">
        <v>0</v>
      </c>
      <c r="DD44" t="inlineStr">
        <is>
          <t>Send</t>
        </is>
      </c>
      <c r="DE44" t="inlineStr">
        <is>
          <t>info@rainbowchiropractic.com.au</t>
        </is>
      </c>
      <c r="DF44" t="inlineStr">
        <is>
          <t>info@rainbowchiropractic.com.au</t>
        </is>
      </c>
      <c r="DO44">
        <v>1.0000000000</v>
      </c>
      <c r="DQ44" t="b">
        <v>1</v>
      </c>
      <c r="DR44" t="inlineStr">
        <is>
          <t>Allow</t>
        </is>
      </c>
      <c r="EA44" t="b">
        <v>0</v>
      </c>
      <c r="EB44" t="inlineStr">
        <is>
          <t>No</t>
        </is>
      </c>
      <c r="EE44" t="b">
        <v>0</v>
      </c>
      <c r="EF44" t="inlineStr">
        <is>
          <t>No</t>
        </is>
      </c>
      <c r="EG44" t="inlineStr">
        <is>
          <t>No</t>
        </is>
      </c>
      <c r="EJ44" t="inlineStr">
        <is>
          <t>951850000,951850001</t>
        </is>
      </c>
      <c r="EK44" t="inlineStr">
        <is>
          <t>Retail; Practitioner</t>
        </is>
      </c>
      <c r="EN44" t="inlineStr">
        <is>
          <t>PRAC</t>
        </is>
      </c>
      <c r="EO44" t="b">
        <v>0</v>
      </c>
      <c r="EP44" t="inlineStr">
        <is>
          <t>No</t>
        </is>
      </c>
      <c r="EQ44" t="inlineStr">
        <is>
          <t>No</t>
        </is>
      </c>
      <c r="EU44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44" t="inlineStr">
        <is>
          <t>Australia</t>
        </is>
      </c>
      <c r="EW44">
        <v>951850003</v>
      </c>
      <c r="EX44" t="inlineStr">
        <is>
          <t>PRA01</t>
        </is>
      </c>
      <c r="EY44" t="inlineStr" s="6">
        <f>HYPERLINK("https://metagenicsd365.crm6.dynamics.com/main.aspx?etn=meta_postcode&amp;pagetype=entityrecord&amp;id=86a8005d-b2a7-e911-a875-000d3ae104e7","86a8005d-b2a7-e911-a875-000d3ae104e7")</f>
        <v>86a8005d-b2a7-e911-a875-000d3ae104e7</v>
      </c>
      <c r="EZ44" t="inlineStr">
        <is>
          <t>3212</t>
        </is>
      </c>
      <c r="FA44" t="inlineStr" s="6">
        <f>HYPERLINK("https://metagenicsd365.crm6.dynamics.com/main.aspx?etn=meta_suburb&amp;pagetype=entityrecord&amp;id=1c56732b-b5a7-e911-a86f-000d3ae10f1f","1c56732b-b5a7-e911-a86f-000d3ae10f1f")</f>
        <v>1c56732b-b5a7-e911-a86f-000d3ae10f1f</v>
      </c>
      <c r="FB44" t="inlineStr">
        <is>
          <t>LARA</t>
        </is>
      </c>
      <c r="FC44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44" t="inlineStr">
        <is>
          <t>Australia</t>
        </is>
      </c>
      <c r="FE44" t="inlineStr">
        <is>
          <t>0000000000000082886</t>
        </is>
      </c>
      <c r="FM44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44" t="inlineStr">
        <is>
          <t>Australia</t>
        </is>
      </c>
      <c r="FO44" t="b">
        <v>0</v>
      </c>
      <c r="FP44" t="inlineStr">
        <is>
          <t>No</t>
        </is>
      </c>
      <c r="FQ44" t="inlineStr">
        <is>
          <t>PRACS</t>
        </is>
      </c>
      <c r="FW44" t="b">
        <v>0</v>
      </c>
      <c r="FX44" t="inlineStr">
        <is>
          <t>No</t>
        </is>
      </c>
      <c r="GA44" t="inlineStr">
        <is>
          <t>ABL2907124</t>
        </is>
      </c>
      <c r="GD44">
        <v>951850000</v>
      </c>
      <c r="GE44" t="inlineStr">
        <is>
          <t>Pending</t>
        </is>
      </c>
      <c r="GF44">
        <v>11226.9300</v>
      </c>
      <c r="GG44">
        <v>11226.9300</v>
      </c>
      <c r="GH44" s="3">
        <v>46122.659502314818</v>
      </c>
      <c r="GI44">
        <v>1</v>
      </c>
      <c r="GJ44" t="b">
        <v>1</v>
      </c>
      <c r="GK44" t="inlineStr">
        <is>
          <t>Yes</t>
        </is>
      </c>
      <c r="GL44" t="b">
        <v>1</v>
      </c>
      <c r="GM44" t="inlineStr">
        <is>
          <t>Yes</t>
        </is>
      </c>
      <c r="GO44" s="3">
        <v>46122.659502314818</v>
      </c>
      <c r="GQ44" s="3">
        <v>46065.164317129631</v>
      </c>
      <c r="GR44" s="3">
        <v>46122.659502314818</v>
      </c>
      <c r="GS44">
        <v>1</v>
      </c>
      <c r="GT44" s="3">
        <v>45148.173252314817</v>
      </c>
      <c r="GU44" s="3">
        <v>46122.659502314818</v>
      </c>
      <c r="GV44">
        <v>1</v>
      </c>
      <c r="GY44" t="inlineStr">
        <is>
          <t>000000082886</t>
        </is>
      </c>
      <c r="HB44" t="inlineStr">
        <is>
          <t>DR ANGELI CHERUBIM - RAINBOW CHIROPRACTIC</t>
        </is>
      </c>
      <c r="HI44">
        <v>2128.0500</v>
      </c>
      <c r="HJ44">
        <v>2128.0500</v>
      </c>
      <c r="HK44" s="3">
        <v>46122.659502314818</v>
      </c>
      <c r="HL44">
        <v>1</v>
      </c>
      <c r="HM44">
        <v>7631.4400</v>
      </c>
      <c r="HN44">
        <v>7631.4400</v>
      </c>
      <c r="HO44" s="3">
        <v>46122.659502314818</v>
      </c>
      <c r="HP44">
        <v>1</v>
      </c>
      <c r="HX44" t="inlineStr" s="6">
        <f>HYPERLINK("https://metagenicsd365.crm6.dynamics.com/main.aspx?etn=meta_paymentterm&amp;pagetype=entityrecord&amp;id=31971c9d-38ba-eb11-8236-00224817f624","31971c9d-38ba-eb11-8236-00224817f624")</f>
        <v>31971c9d-38ba-eb11-8236-00224817f624</v>
      </c>
      <c r="HY44" t="inlineStr">
        <is>
          <t>Cash</t>
        </is>
      </c>
      <c r="IC44" t="inlineStr">
        <is>
          <t>VIC</t>
        </is>
      </c>
      <c r="ID44" t="inlineStr">
        <is>
          <t>Suite 3 1 Waverley Road</t>
        </is>
      </c>
      <c r="IE44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44" t="inlineStr">
        <is>
          <t>Australia</t>
        </is>
      </c>
      <c r="IG44" t="inlineStr" s="6">
        <f>HYPERLINK("https://metagenicsd365.crm6.dynamics.com/main.aspx?etn=meta_postcode&amp;pagetype=entityrecord&amp;id=86a8005d-b2a7-e911-a875-000d3ae104e7","86a8005d-b2a7-e911-a875-000d3ae104e7")</f>
        <v>86a8005d-b2a7-e911-a875-000d3ae104e7</v>
      </c>
      <c r="IH44" t="inlineStr">
        <is>
          <t>3212</t>
        </is>
      </c>
      <c r="II44" t="inlineStr" s="6">
        <f>HYPERLINK("https://metagenicsd365.crm6.dynamics.com/main.aspx?etn=meta_suburb&amp;pagetype=entityrecord&amp;id=1c56732b-b5a7-e911-a86f-000d3ae10f1f","1c56732b-b5a7-e911-a86f-000d3ae10f1f")</f>
        <v>1c56732b-b5a7-e911-a86f-000d3ae10f1f</v>
      </c>
      <c r="IJ44" t="inlineStr">
        <is>
          <t>LARA</t>
        </is>
      </c>
      <c r="IK44" t="inlineStr" s="6">
        <f>HYPERLINK("https://metagenicsd365.crm6.dynamics.com/main.aspx?etn=meta_postcode&amp;pagetype=entityrecord&amp;id=86a8005d-b2a7-e911-a875-000d3ae104e7","86a8005d-b2a7-e911-a875-000d3ae104e7")</f>
        <v>86a8005d-b2a7-e911-a875-000d3ae104e7</v>
      </c>
      <c r="IL44" t="inlineStr">
        <is>
          <t>3212</t>
        </is>
      </c>
      <c r="IM44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44" t="inlineStr">
        <is>
          <t># HWORLD</t>
        </is>
      </c>
      <c r="IO44" t="inlineStr" s="6">
        <f>HYPERLINK("https://metagenicsd365.crm6.dynamics.com/main.aspx?etn=meta_segment&amp;pagetype=entityrecord&amp;id=42e3a56e-8030-eb11-a813-000d3ae15585","42e3a56e-8030-eb11-a813-000d3ae15585")</f>
        <v>42e3a56e-8030-eb11-a813-000d3ae15585</v>
      </c>
      <c r="IP44" t="inlineStr">
        <is>
          <t>8 - Non called upon</t>
        </is>
      </c>
      <c r="IQ44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44" t="inlineStr">
        <is>
          <t>APH0</t>
        </is>
      </c>
      <c r="IW44" t="inlineStr" s="6">
        <f>HYPERLINK("https://metagenicsd365.crm6.dynamics.com/main.aspx?etn=meta_modality&amp;pagetype=entityrecord&amp;id=97016278-42a7-e911-a86f-000d3ae10f1f","97016278-42a7-e911-a86f-000d3ae10f1f")</f>
        <v>97016278-42a7-e911-a86f-000d3ae10f1f</v>
      </c>
      <c r="IX44" t="inlineStr">
        <is>
          <t>Chiropractor</t>
        </is>
      </c>
      <c r="IZ44">
        <v>951850000</v>
      </c>
      <c r="JA44" t="inlineStr">
        <is>
          <t>Billing</t>
        </is>
      </c>
      <c r="JE44" t="b">
        <v>0</v>
      </c>
      <c r="JF44" t="inlineStr">
        <is>
          <t>No</t>
        </is>
      </c>
      <c r="JI44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JJ44" t="inlineStr">
        <is>
          <t># HWORLD</t>
        </is>
      </c>
      <c r="JK44" t="inlineStr" s="6">
        <f>HYPERLINK("https://metagenicsd365.crm6.dynamics.com/main.aspx?etn=meta_segment&amp;pagetype=entityrecord&amp;id=42e3a56e-8030-eb11-a813-000d3ae15585","42e3a56e-8030-eb11-a813-000d3ae15585")</f>
        <v>42e3a56e-8030-eb11-a813-000d3ae15585</v>
      </c>
      <c r="JL44" t="inlineStr">
        <is>
          <t>8 - Non called upon</t>
        </is>
      </c>
      <c r="JM44" t="inlineStr" s="6">
        <f>HYPERLINK("https://metagenicsd365.crm6.dynamics.com/main.aspx?etn=territory&amp;pagetype=entityrecord&amp;id=c64322e5-8030-eb11-a813-000d3ae15585","c64322e5-8030-eb11-a813-000d3ae15585")</f>
        <v>c64322e5-8030-eb11-a813-000d3ae15585</v>
      </c>
      <c r="JN44" t="inlineStr">
        <is>
          <t>ARH0</t>
        </is>
      </c>
      <c r="JO44" t="inlineStr">
        <is>
          <t>http://hwndw02.healthworld.com.au/reports/report/HealthWorldAnalytics/REPORTS/CRMCustomerCardMaster?rc:Toolbar=false&amp;CustomerCodeLabel=82886_3212</t>
        </is>
      </c>
      <c r="JT44">
        <v>951850003</v>
      </c>
      <c r="JU44" t="inlineStr">
        <is>
          <t>FPP-Priority Shipping-(Do Not Use)</t>
        </is>
      </c>
      <c r="JY44" t="inlineStr" s="6">
        <f>HYPERLINK("https://metagenicsd365.crm6.dynamics.com/main.aspx?etn=meta_suburb&amp;pagetype=entityrecord&amp;id=1c56732b-b5a7-e911-a86f-000d3ae10f1f","1c56732b-b5a7-e911-a86f-000d3ae10f1f")</f>
        <v>1c56732b-b5a7-e911-a86f-000d3ae10f1f</v>
      </c>
      <c r="JZ44" t="inlineStr">
        <is>
          <t>LARA</t>
        </is>
      </c>
      <c r="KB44">
        <v>1690.0000</v>
      </c>
      <c r="KC44">
        <v>1690.0000</v>
      </c>
      <c r="KD44" s="3">
        <v>46122.659502314818</v>
      </c>
      <c r="KE44">
        <v>1</v>
      </c>
      <c r="KF44">
        <v>6799.5300</v>
      </c>
      <c r="KG44">
        <v>6799.5300</v>
      </c>
      <c r="KH44" s="3">
        <v>46122.659502314818</v>
      </c>
      <c r="KI44">
        <v>1</v>
      </c>
      <c r="KJ44">
        <v>12349.7300</v>
      </c>
      <c r="KK44">
        <v>12349.7300</v>
      </c>
      <c r="KL44" s="3">
        <v>46122.659502314818</v>
      </c>
      <c r="KM44">
        <v>1</v>
      </c>
      <c r="KP44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44" t="inlineStr">
        <is>
          <t>Sriganesh Subramanian</t>
        </is>
      </c>
      <c r="KT44" s="3">
        <v>46035.95517361111</v>
      </c>
      <c r="LH44" t="inlineStr">
        <is>
          <t>DR ANGELI CHERUBIM - RAINBOW CHIROPRACTIC</t>
        </is>
      </c>
      <c r="LO44">
        <v>0</v>
      </c>
      <c r="LP44" s="3">
        <v>46122.659502314818</v>
      </c>
      <c r="LQ44">
        <v>1</v>
      </c>
      <c r="LR44">
        <v>0.0000</v>
      </c>
      <c r="LS44">
        <v>0.0000</v>
      </c>
      <c r="LT44" s="3">
        <v>46122.659502314818</v>
      </c>
      <c r="LU44">
        <v>1</v>
      </c>
      <c r="LY44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44" t="inlineStr">
        <is>
          <t>Australia</t>
        </is>
      </c>
      <c r="MA44" t="inlineStr">
        <is>
          <t>team</t>
        </is>
      </c>
      <c r="MD44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44" t="inlineStr">
        <is>
          <t>Australia</t>
        </is>
      </c>
      <c r="MF44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L44" t="b">
        <v>0</v>
      </c>
      <c r="MM44" t="inlineStr">
        <is>
          <t>No</t>
        </is>
      </c>
      <c r="MT44">
        <v>1</v>
      </c>
      <c r="MU44" t="inlineStr">
        <is>
          <t>Any</t>
        </is>
      </c>
      <c r="NB44" t="inlineStr" s="6">
        <f>HYPERLINK("https://metagenicsd365.crm6.dynamics.com/main.aspx?etn=contact&amp;pagetype=entityrecord&amp;id=94c29658-ec00-ea11-a811-000d3a799562","94c29658-ec00-ea11-a811-000d3a799562")</f>
        <v>94c29658-ec00-ea11-a811-000d3a799562</v>
      </c>
      <c r="NC44" t="inlineStr">
        <is>
          <t>ANGELI info@rainbowchiropractic.com.au</t>
        </is>
      </c>
      <c r="NJ44">
        <v>1</v>
      </c>
      <c r="NK44" t="inlineStr">
        <is>
          <t>Airborne</t>
        </is>
      </c>
      <c r="NR44">
        <v>0</v>
      </c>
      <c r="NS44" t="inlineStr">
        <is>
          <t>Active</t>
        </is>
      </c>
      <c r="NT44">
        <v>1</v>
      </c>
      <c r="NU44" t="inlineStr">
        <is>
          <t>Active</t>
        </is>
      </c>
      <c r="NX44" t="inlineStr">
        <is>
          <t>03 5282 1200</t>
        </is>
      </c>
      <c r="NY44" t="inlineStr">
        <is>
          <t>03 5282 1200</t>
        </is>
      </c>
      <c r="NZ44" t="inlineStr">
        <is>
          <t>0411 122 389</t>
        </is>
      </c>
      <c r="OA44">
        <v>1</v>
      </c>
      <c r="OB44" t="inlineStr">
        <is>
          <t>Default Value</t>
        </is>
      </c>
      <c r="OH44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44" t="inlineStr">
        <is>
          <t>Australian Dollar</t>
        </is>
      </c>
      <c r="OL44" t="inlineStr">
        <is>
          <t>0x000000003D6289AA</t>
        </is>
      </c>
    </row>
    <row r="45">
      <c r="C45">
        <v>1</v>
      </c>
      <c r="D45" t="inlineStr">
        <is>
          <t>Default Value</t>
        </is>
      </c>
      <c r="E45" t="inlineStr" s="6">
        <f>HYPERLINK("https://metagenicsd365.crm6.dynamics.com/main.aspx?etn=account&amp;pagetype=entityrecord&amp;id=0a83f99a-fb00-ea11-a811-000d3a793530","0a83f99a-fb00-ea11-a811-000d3a793530")</f>
        <v>0a83f99a-fb00-ea11-a811-000d3a793530</v>
      </c>
      <c r="F45" t="inlineStr">
        <is>
          <t>NZ8897</t>
        </is>
      </c>
      <c r="G45">
        <v>1</v>
      </c>
      <c r="H45" t="inlineStr">
        <is>
          <t>Default Value</t>
        </is>
      </c>
      <c r="I45" t="inlineStr" s="6">
        <f>HYPERLINK("https://metagenicsd365.crm6.dynamics.com/main.aspx?etn=account&amp;pagetype=entityrecord&amp;id=7b3cd193-0ff4-4704-80e7-aa51e2dc59d7","7b3cd193-0ff4-4704-80e7-aa51e2dc59d7")</f>
        <v>7b3cd193-0ff4-4704-80e7-aa51e2dc59d7</v>
      </c>
      <c r="M45" t="inlineStr">
        <is>
          <t>CNR BRECON &amp; ISLE STREET
OTA</t>
        </is>
      </c>
      <c r="T45" t="inlineStr">
        <is>
          <t>CNR BRECON &amp; ISLE STREET</t>
        </is>
      </c>
      <c r="AD45" t="inlineStr">
        <is>
          <t>OTA</t>
        </is>
      </c>
      <c r="AE45" t="inlineStr">
        <is>
          <t>03 441 0590</t>
        </is>
      </c>
      <c r="AJ45" t="inlineStr" s="6">
        <f>HYPERLINK("https://metagenicsd365.crm6.dynamics.com/main.aspx?etn=account&amp;pagetype=entityrecord&amp;id=f85c57c7-a4f2-4011-8845-12c3e7afe9af","f85c57c7-a4f2-4011-8845-12c3e7afe9af")</f>
        <v>f85c57c7-a4f2-4011-8845-12c3e7afe9af</v>
      </c>
      <c r="AK45">
        <v>1</v>
      </c>
      <c r="AL45" t="inlineStr">
        <is>
          <t>Default Value</t>
        </is>
      </c>
      <c r="AN45" t="inlineStr">
        <is>
          <t>CNR BRECON &amp; ISLE STREET
OTA</t>
        </is>
      </c>
      <c r="AR45">
        <v>1</v>
      </c>
      <c r="AS45" t="inlineStr">
        <is>
          <t>Default Value</t>
        </is>
      </c>
      <c r="AU45" t="inlineStr">
        <is>
          <t>CNR BRECON &amp; ISLE STREET</t>
        </is>
      </c>
      <c r="BC45">
        <v>1</v>
      </c>
      <c r="BD45" t="inlineStr">
        <is>
          <t>Default Value</t>
        </is>
      </c>
      <c r="BE45" t="inlineStr">
        <is>
          <t>OTA</t>
        </is>
      </c>
      <c r="BU45">
        <v>1</v>
      </c>
      <c r="BV45" t="inlineStr">
        <is>
          <t>Default Value</t>
        </is>
      </c>
      <c r="BY45" t="inlineStr" s="6">
        <f>HYPERLINK("https://metagenicsd365.crm6.dynamics.com/main.aspx?etn=systemuser&amp;pagetype=entityrecord&amp;id=c4de84af-624f-e911-a979-000d3ae135ff","c4de84af-624f-e911-a979-000d3ae135ff")</f>
        <v>c4de84af-624f-e911-a979-000d3ae135ff</v>
      </c>
      <c r="BZ45" t="inlineStr">
        <is>
          <t>Megan Victory</t>
        </is>
      </c>
      <c r="CC45" s="3">
        <v>43776.050150462965</v>
      </c>
      <c r="CH45" t="b">
        <v>0</v>
      </c>
      <c r="CI45" t="inlineStr">
        <is>
          <t>No</t>
        </is>
      </c>
      <c r="CJ45">
        <v>1</v>
      </c>
      <c r="CK45" t="inlineStr">
        <is>
          <t>Default Value</t>
        </is>
      </c>
      <c r="CN45" t="inlineStr" s="6">
        <f>HYPERLINK("https://metagenicsd365.crm6.dynamics.com/main.aspx?etn=pricelevel&amp;pagetype=entityrecord&amp;id=ac6349b4-6aa7-e911-a886-000d3ae106b8","ac6349b4-6aa7-e911-a886-000d3ae106b8")</f>
        <v>ac6349b4-6aa7-e911-a886-000d3ae106b8</v>
      </c>
      <c r="CO45" t="inlineStr">
        <is>
          <t>Retail Products New Zealand</t>
        </is>
      </c>
      <c r="CQ45" t="b">
        <v>0</v>
      </c>
      <c r="CR45" t="inlineStr">
        <is>
          <t>Allow</t>
        </is>
      </c>
      <c r="CS45" t="b">
        <v>0</v>
      </c>
      <c r="CT45" t="inlineStr">
        <is>
          <t>No</t>
        </is>
      </c>
      <c r="CU45" t="b">
        <v>0</v>
      </c>
      <c r="CV45" t="inlineStr">
        <is>
          <t>Allow</t>
        </is>
      </c>
      <c r="CW45" t="b">
        <v>0</v>
      </c>
      <c r="CX45" t="inlineStr">
        <is>
          <t>Allow</t>
        </is>
      </c>
      <c r="CY45" t="b">
        <v>0</v>
      </c>
      <c r="CZ45" t="inlineStr">
        <is>
          <t>Allow</t>
        </is>
      </c>
      <c r="DA45" t="b">
        <v>0</v>
      </c>
      <c r="DB45" t="inlineStr">
        <is>
          <t>Allow</t>
        </is>
      </c>
      <c r="DC45" t="b">
        <v>0</v>
      </c>
      <c r="DD45" t="inlineStr">
        <is>
          <t>Send</t>
        </is>
      </c>
      <c r="DE45" t="inlineStr">
        <is>
          <t>info@queenstownpharmacy.co.nz</t>
        </is>
      </c>
      <c r="DF45" t="inlineStr">
        <is>
          <t>info@queenstownpharmacy.co.nz</t>
        </is>
      </c>
      <c r="DH45" t="inlineStr">
        <is>
          <t>51bcfbfe-3ae7-ee11-904d-6045bd3dbbab</t>
        </is>
      </c>
      <c r="DO45">
        <v>1.1000000000</v>
      </c>
      <c r="DQ45" t="b">
        <v>1</v>
      </c>
      <c r="DR45" t="inlineStr">
        <is>
          <t>Allow</t>
        </is>
      </c>
      <c r="EA45" t="b">
        <v>0</v>
      </c>
      <c r="EB45" t="inlineStr">
        <is>
          <t>No</t>
        </is>
      </c>
      <c r="EE45" t="b">
        <v>0</v>
      </c>
      <c r="EF45" t="inlineStr">
        <is>
          <t>No</t>
        </is>
      </c>
      <c r="EJ45" t="inlineStr">
        <is>
          <t>951850000</t>
        </is>
      </c>
      <c r="EK45" t="inlineStr">
        <is>
          <t>Retail</t>
        </is>
      </c>
      <c r="EO45" t="b">
        <v>0</v>
      </c>
      <c r="EP45" t="inlineStr">
        <is>
          <t>No</t>
        </is>
      </c>
      <c r="EU45" t="inlineStr" s="6">
        <f>HYPERLINK("https://metagenicsd365.crm6.dynamics.com/main.aspx?etn=meta_country&amp;pagetype=entityrecord&amp;id=b5015a9c-41a7-e911-a86f-000d3ae10f1f","b5015a9c-41a7-e911-a86f-000d3ae10f1f")</f>
        <v>b5015a9c-41a7-e911-a86f-000d3ae10f1f</v>
      </c>
      <c r="EV45" t="inlineStr">
        <is>
          <t>New Zealand</t>
        </is>
      </c>
      <c r="EW45">
        <v>951850014</v>
      </c>
      <c r="EX45" t="inlineStr">
        <is>
          <t>RETON</t>
        </is>
      </c>
      <c r="EY45" t="inlineStr" s="6">
        <f>HYPERLINK("https://metagenicsd365.crm6.dynamics.com/main.aspx?etn=meta_postcode&amp;pagetype=entityrecord&amp;id=c8fd8fdc-b2a7-e911-a873-000d3ae10139","c8fd8fdc-b2a7-e911-a873-000d3ae10139")</f>
        <v>c8fd8fdc-b2a7-e911-a873-000d3ae10139</v>
      </c>
      <c r="EZ45" t="inlineStr">
        <is>
          <t>9300</t>
        </is>
      </c>
      <c r="FA45" t="inlineStr" s="6">
        <f>HYPERLINK("https://metagenicsd365.crm6.dynamics.com/main.aspx?etn=meta_suburb&amp;pagetype=entityrecord&amp;id=47a97a0a-b3a7-e911-a875-000d3ae104e7","47a97a0a-b3a7-e911-a875-000d3ae104e7")</f>
        <v>47a97a0a-b3a7-e911-a875-000d3ae104e7</v>
      </c>
      <c r="FB45" t="inlineStr">
        <is>
          <t>QUEENSTOWN</t>
        </is>
      </c>
      <c r="FC45" t="inlineStr" s="6">
        <f>HYPERLINK("https://metagenicsd365.crm6.dynamics.com/main.aspx?etn=businessunit&amp;pagetype=entityrecord&amp;id=185d6825-ff84-e811-a95f-000d3ae058f0","185d6825-ff84-e811-a95f-000d3ae058f0")</f>
        <v>185d6825-ff84-e811-a95f-000d3ae058f0</v>
      </c>
      <c r="FD45" t="inlineStr">
        <is>
          <t>New Zealand</t>
        </is>
      </c>
      <c r="FE45" t="inlineStr">
        <is>
          <t>0000000NZ8897</t>
        </is>
      </c>
      <c r="FM45" t="inlineStr" s="6">
        <f>HYPERLINK("https://metagenicsd365.crm6.dynamics.com/main.aspx?etn=meta_country&amp;pagetype=entityrecord&amp;id=b5015a9c-41a7-e911-a86f-000d3ae10f1f","b5015a9c-41a7-e911-a86f-000d3ae10f1f")</f>
        <v>b5015a9c-41a7-e911-a86f-000d3ae10f1f</v>
      </c>
      <c r="FN45" t="inlineStr">
        <is>
          <t>New Zealand</t>
        </is>
      </c>
      <c r="FO45" t="b">
        <v>0</v>
      </c>
      <c r="FP45" t="inlineStr">
        <is>
          <t>No</t>
        </is>
      </c>
      <c r="FQ45" t="inlineStr">
        <is>
          <t>RETON</t>
        </is>
      </c>
      <c r="FW45" t="b">
        <v>0</v>
      </c>
      <c r="FX45" t="inlineStr">
        <is>
          <t>No</t>
        </is>
      </c>
      <c r="GA45" t="inlineStr">
        <is>
          <t>ABL2856190</t>
        </is>
      </c>
      <c r="GD45">
        <v>951850000</v>
      </c>
      <c r="GE45" t="inlineStr">
        <is>
          <t>Pending</t>
        </is>
      </c>
      <c r="GF45">
        <v>7302.4700</v>
      </c>
      <c r="GG45">
        <v>6638.6091</v>
      </c>
      <c r="GH45" s="3">
        <v>46122.659502314818</v>
      </c>
      <c r="GI45">
        <v>1</v>
      </c>
      <c r="GL45" t="b">
        <v>1</v>
      </c>
      <c r="GM45" t="inlineStr">
        <is>
          <t>Yes</t>
        </is>
      </c>
      <c r="GO45" s="3">
        <v>46122.659502314818</v>
      </c>
      <c r="GQ45" s="3">
        <v>46065.145405092589</v>
      </c>
      <c r="GR45" s="3">
        <v>46122.659502314818</v>
      </c>
      <c r="GS45">
        <v>1</v>
      </c>
      <c r="GT45" s="3">
        <v>45697.956087962964</v>
      </c>
      <c r="GU45" s="3">
        <v>46122.659502314818</v>
      </c>
      <c r="GV45">
        <v>1</v>
      </c>
      <c r="GY45" t="inlineStr">
        <is>
          <t>NZ8897</t>
        </is>
      </c>
      <c r="HB45" t="inlineStr">
        <is>
          <t>QUEENSTOWN PHARMACY</t>
        </is>
      </c>
      <c r="HI45">
        <v>9080.5500</v>
      </c>
      <c r="HJ45">
        <v>8255.0455</v>
      </c>
      <c r="HK45" s="3">
        <v>46122.659502314818</v>
      </c>
      <c r="HL45">
        <v>1</v>
      </c>
      <c r="HM45">
        <v>6479.3300</v>
      </c>
      <c r="HN45">
        <v>5890.3000</v>
      </c>
      <c r="HO45" s="3">
        <v>46122.659502314818</v>
      </c>
      <c r="HP45">
        <v>1</v>
      </c>
      <c r="HX45" t="inlineStr" s="6">
        <f>HYPERLINK("https://metagenicsd365.crm6.dynamics.com/main.aspx?etn=meta_paymentterm&amp;pagetype=entityrecord&amp;id=884d37f0-37ba-eb11-8236-00224817f624","884d37f0-37ba-eb11-8236-00224817f624")</f>
        <v>884d37f0-37ba-eb11-8236-00224817f624</v>
      </c>
      <c r="HY45" t="inlineStr">
        <is>
          <t>Net 20 Days End of Month</t>
        </is>
      </c>
      <c r="IC45" t="inlineStr">
        <is>
          <t>OTA</t>
        </is>
      </c>
      <c r="ID45" t="inlineStr">
        <is>
          <t>CNR BRECON &amp; ISLE STREET</t>
        </is>
      </c>
      <c r="IE45" t="inlineStr" s="6">
        <f>HYPERLINK("https://metagenicsd365.crm6.dynamics.com/main.aspx?etn=meta_country&amp;pagetype=entityrecord&amp;id=b5015a9c-41a7-e911-a86f-000d3ae10f1f","b5015a9c-41a7-e911-a86f-000d3ae10f1f")</f>
        <v>b5015a9c-41a7-e911-a86f-000d3ae10f1f</v>
      </c>
      <c r="IF45" t="inlineStr">
        <is>
          <t>New Zealand</t>
        </is>
      </c>
      <c r="IG45" t="inlineStr" s="6">
        <f>HYPERLINK("https://metagenicsd365.crm6.dynamics.com/main.aspx?etn=meta_postcode&amp;pagetype=entityrecord&amp;id=c8fd8fdc-b2a7-e911-a873-000d3ae10139","c8fd8fdc-b2a7-e911-a873-000d3ae10139")</f>
        <v>c8fd8fdc-b2a7-e911-a873-000d3ae10139</v>
      </c>
      <c r="IH45" t="inlineStr">
        <is>
          <t>9300</t>
        </is>
      </c>
      <c r="II45" t="inlineStr" s="6">
        <f>HYPERLINK("https://metagenicsd365.crm6.dynamics.com/main.aspx?etn=meta_suburb&amp;pagetype=entityrecord&amp;id=47a97a0a-b3a7-e911-a875-000d3ae104e7","47a97a0a-b3a7-e911-a875-000d3ae104e7")</f>
        <v>47a97a0a-b3a7-e911-a875-000d3ae104e7</v>
      </c>
      <c r="IJ45" t="inlineStr">
        <is>
          <t>QUEENSTOWN</t>
        </is>
      </c>
      <c r="IK45" t="inlineStr" s="6">
        <f>HYPERLINK("https://metagenicsd365.crm6.dynamics.com/main.aspx?etn=meta_postcode&amp;pagetype=entityrecord&amp;id=c8fd8fdc-b2a7-e911-a873-000d3ae10139","c8fd8fdc-b2a7-e911-a873-000d3ae10139")</f>
        <v>c8fd8fdc-b2a7-e911-a873-000d3ae10139</v>
      </c>
      <c r="IL45" t="inlineStr">
        <is>
          <t>9300</t>
        </is>
      </c>
      <c r="IZ45">
        <v>951850000</v>
      </c>
      <c r="JA45" t="inlineStr">
        <is>
          <t>Billing</t>
        </is>
      </c>
      <c r="JE45" t="b">
        <v>0</v>
      </c>
      <c r="JF45" t="inlineStr">
        <is>
          <t>No</t>
        </is>
      </c>
      <c r="JK45" t="inlineStr" s="6">
        <f>HYPERLINK("https://metagenicsd365.crm6.dynamics.com/main.aspx?etn=meta_segment&amp;pagetype=entityrecord&amp;id=62f55b6c-8030-eb11-a813-000d3ae1554c","62f55b6c-8030-eb11-a813-000d3ae1554c")</f>
        <v>62f55b6c-8030-eb11-a813-000d3ae1554c</v>
      </c>
      <c r="JL45" t="inlineStr">
        <is>
          <t>4 - Small retail pharmacy</t>
        </is>
      </c>
      <c r="JM45" t="inlineStr" s="6">
        <f>HYPERLINK("https://metagenicsd365.crm6.dynamics.com/main.aspx?etn=territory&amp;pagetype=entityrecord&amp;id=a2640ddf-8030-eb11-a813-000d3ae15585","a2640ddf-8030-eb11-a813-000d3ae15585")</f>
        <v>a2640ddf-8030-eb11-a813-000d3ae15585</v>
      </c>
      <c r="JN45" t="inlineStr">
        <is>
          <t>9R02</t>
        </is>
      </c>
      <c r="JO45" t="inlineStr">
        <is>
          <t>http://hwndw02.healthworld.com.au/reports/report/HealthWorldAnalytics/REPORTS/CRMCustomerCardMaster?rc:Toolbar=false&amp;CustomerCodeLabel=NZ8897_9300</t>
        </is>
      </c>
      <c r="JT45">
        <v>803920000</v>
      </c>
      <c r="JU45" t="inlineStr">
        <is>
          <t>CP</t>
        </is>
      </c>
      <c r="JY45" t="inlineStr" s="6">
        <f>HYPERLINK("https://metagenicsd365.crm6.dynamics.com/main.aspx?etn=meta_suburb&amp;pagetype=entityrecord&amp;id=47a97a0a-b3a7-e911-a875-000d3ae104e7","47a97a0a-b3a7-e911-a875-000d3ae104e7")</f>
        <v>47a97a0a-b3a7-e911-a875-000d3ae104e7</v>
      </c>
      <c r="JZ45" t="inlineStr">
        <is>
          <t>QUEENSTOWN</t>
        </is>
      </c>
      <c r="KB45">
        <v>7500.6000</v>
      </c>
      <c r="KC45">
        <v>6818.7273</v>
      </c>
      <c r="KD45" s="3">
        <v>46122.659502314818</v>
      </c>
      <c r="KE45">
        <v>1</v>
      </c>
      <c r="KF45">
        <v>6261.7700</v>
      </c>
      <c r="KG45">
        <v>5692.5182</v>
      </c>
      <c r="KH45" s="3">
        <v>46122.659502314818</v>
      </c>
      <c r="KI45">
        <v>1</v>
      </c>
      <c r="KJ45">
        <v>8405.1800</v>
      </c>
      <c r="KK45">
        <v>7641.0727</v>
      </c>
      <c r="KL45" s="3">
        <v>46122.659502314818</v>
      </c>
      <c r="KM45">
        <v>1</v>
      </c>
      <c r="KP45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45" t="inlineStr">
        <is>
          <t>Sriganesh Subramanian</t>
        </is>
      </c>
      <c r="KT45" s="3">
        <v>46035.95</v>
      </c>
      <c r="LH45" t="inlineStr">
        <is>
          <t>QUEENSTOWN PHARMACY</t>
        </is>
      </c>
      <c r="LO45">
        <v>0</v>
      </c>
      <c r="LP45" s="3">
        <v>46122.659502314818</v>
      </c>
      <c r="LQ45">
        <v>1</v>
      </c>
      <c r="LR45">
        <v>0.0000</v>
      </c>
      <c r="LS45">
        <v>0.0000</v>
      </c>
      <c r="LT45" s="3">
        <v>46122.659502314818</v>
      </c>
      <c r="LU45">
        <v>1</v>
      </c>
      <c r="LY45" t="inlineStr" s="6">
        <f>HYPERLINK("https://metagenicsd365.crm6.dynamics.com/main.aspx?etn=team&amp;pagetype=entityrecord&amp;id=195d6825-ff84-e811-a95f-000d3ae058f0","195d6825-ff84-e811-a95f-000d3ae058f0")</f>
        <v>195d6825-ff84-e811-a95f-000d3ae058f0</v>
      </c>
      <c r="LZ45" t="inlineStr">
        <is>
          <t>New Zealand</t>
        </is>
      </c>
      <c r="MA45" t="inlineStr">
        <is>
          <t>team</t>
        </is>
      </c>
      <c r="MD45" t="inlineStr" s="6">
        <f>HYPERLINK("https://metagenicsd365.crm6.dynamics.com/main.aspx?etn=businessunit&amp;pagetype=entityrecord&amp;id=185d6825-ff84-e811-a95f-000d3ae058f0","185d6825-ff84-e811-a95f-000d3ae058f0")</f>
        <v>185d6825-ff84-e811-a95f-000d3ae058f0</v>
      </c>
      <c r="ME45" t="inlineStr">
        <is>
          <t>New Zealand</t>
        </is>
      </c>
      <c r="MF45" t="inlineStr" s="6">
        <f>HYPERLINK("https://metagenicsd365.crm6.dynamics.com/main.aspx?etn=team&amp;pagetype=entityrecord&amp;id=195d6825-ff84-e811-a95f-000d3ae058f0","195d6825-ff84-e811-a95f-000d3ae058f0")</f>
        <v>195d6825-ff84-e811-a95f-000d3ae058f0</v>
      </c>
      <c r="ML45" t="b">
        <v>0</v>
      </c>
      <c r="MM45" t="inlineStr">
        <is>
          <t>No</t>
        </is>
      </c>
      <c r="MT45">
        <v>1</v>
      </c>
      <c r="MU45" t="inlineStr">
        <is>
          <t>Any</t>
        </is>
      </c>
      <c r="NB45" t="inlineStr" s="6">
        <f>HYPERLINK("https://metagenicsd365.crm6.dynamics.com/main.aspx?etn=contact&amp;pagetype=entityrecord&amp;id=44fb6509-fb00-ea11-a811-000d3a793530","44fb6509-fb00-ea11-a811-000d3a793530")</f>
        <v>44fb6509-fb00-ea11-a811-000d3a793530</v>
      </c>
      <c r="NC45" t="inlineStr">
        <is>
          <t>LYDIA BOULAY  - OWNERS</t>
        </is>
      </c>
      <c r="NJ45">
        <v>1</v>
      </c>
      <c r="NK45" t="inlineStr">
        <is>
          <t>Airborne</t>
        </is>
      </c>
      <c r="NR45">
        <v>0</v>
      </c>
      <c r="NS45" t="inlineStr">
        <is>
          <t>Active</t>
        </is>
      </c>
      <c r="NT45">
        <v>1</v>
      </c>
      <c r="NU45" t="inlineStr">
        <is>
          <t>Active</t>
        </is>
      </c>
      <c r="NX45" t="inlineStr">
        <is>
          <t>03 441 0590</t>
        </is>
      </c>
      <c r="NY45" t="inlineStr">
        <is>
          <t>03 441 0590</t>
        </is>
      </c>
      <c r="NZ45" t="inlineStr">
        <is>
          <t>02 777 66505</t>
        </is>
      </c>
      <c r="OA45">
        <v>1</v>
      </c>
      <c r="OB45" t="inlineStr">
        <is>
          <t>Default Value</t>
        </is>
      </c>
      <c r="OH45" t="inlineStr" s="6">
        <f>HYPERLINK("https://metagenicsd365.crm6.dynamics.com/main.aspx?etn=transactioncurrency&amp;pagetype=entityrecord&amp;id=75fa7107-58cb-e811-a965-000d3ae0575b","75fa7107-58cb-e811-a965-000d3ae0575b")</f>
        <v>75fa7107-58cb-e811-a965-000d3ae0575b</v>
      </c>
      <c r="OI45" t="inlineStr">
        <is>
          <t>New Zealand Dollar</t>
        </is>
      </c>
      <c r="OL45" t="inlineStr">
        <is>
          <t>0x000000003D6286B6</t>
        </is>
      </c>
    </row>
    <row r="46">
      <c r="C46">
        <v>1</v>
      </c>
      <c r="D46" t="inlineStr">
        <is>
          <t>Default Value</t>
        </is>
      </c>
      <c r="E46" t="inlineStr" s="6">
        <f>HYPERLINK("https://metagenicsd365.crm6.dynamics.com/main.aspx?etn=account&amp;pagetype=entityrecord&amp;id=5b766ff6-fb00-ea11-a811-000d3a793530","5b766ff6-fb00-ea11-a811-000d3a793530")</f>
        <v>5b766ff6-fb00-ea11-a811-000d3a793530</v>
      </c>
      <c r="F46" t="inlineStr">
        <is>
          <t>NZ8897</t>
        </is>
      </c>
      <c r="G46">
        <v>1</v>
      </c>
      <c r="H46" t="inlineStr">
        <is>
          <t>Default Value</t>
        </is>
      </c>
      <c r="I46" t="inlineStr" s="6">
        <f>HYPERLINK("https://metagenicsd365.crm6.dynamics.com/main.aspx?etn=account&amp;pagetype=entityrecord&amp;id=558e0067-3495-4462-a9a1-96ced724478c","558e0067-3495-4462-a9a1-96ced724478c")</f>
        <v>558e0067-3495-4462-a9a1-96ced724478c</v>
      </c>
      <c r="M46" t="inlineStr">
        <is>
          <t>CNR BRECON &amp; ISLE STREET
OTA</t>
        </is>
      </c>
      <c r="T46" t="inlineStr">
        <is>
          <t>CNR BRECON &amp; ISLE STREET</t>
        </is>
      </c>
      <c r="AD46" t="inlineStr">
        <is>
          <t>OTA</t>
        </is>
      </c>
      <c r="AE46" t="inlineStr">
        <is>
          <t>03 441 0590</t>
        </is>
      </c>
      <c r="AJ46" t="inlineStr" s="6">
        <f>HYPERLINK("https://metagenicsd365.crm6.dynamics.com/main.aspx?etn=account&amp;pagetype=entityrecord&amp;id=4aae91bb-c49a-47cd-a02e-a25c8dedf68d","4aae91bb-c49a-47cd-a02e-a25c8dedf68d")</f>
        <v>4aae91bb-c49a-47cd-a02e-a25c8dedf68d</v>
      </c>
      <c r="AK46">
        <v>1</v>
      </c>
      <c r="AL46" t="inlineStr">
        <is>
          <t>Default Value</t>
        </is>
      </c>
      <c r="AN46" t="inlineStr">
        <is>
          <t>CNR BRECON &amp; ISLE STREET
OTA</t>
        </is>
      </c>
      <c r="AR46">
        <v>1</v>
      </c>
      <c r="AS46" t="inlineStr">
        <is>
          <t>Default Value</t>
        </is>
      </c>
      <c r="AU46" t="inlineStr">
        <is>
          <t>CNR BRECON &amp; ISLE STREET</t>
        </is>
      </c>
      <c r="BC46">
        <v>1</v>
      </c>
      <c r="BD46" t="inlineStr">
        <is>
          <t>Default Value</t>
        </is>
      </c>
      <c r="BE46" t="inlineStr">
        <is>
          <t>OTA</t>
        </is>
      </c>
      <c r="BU46">
        <v>1</v>
      </c>
      <c r="BV46" t="inlineStr">
        <is>
          <t>Default Value</t>
        </is>
      </c>
      <c r="BW46" t="inlineStr" s="6">
        <f>HYPERLINK("https://metagenicsd365.crm6.dynamics.com/main.aspx?etn=account&amp;pagetype=entityrecord&amp;id=0a83f99a-fb00-ea11-a811-000d3a793530","0a83f99a-fb00-ea11-a811-000d3a793530")</f>
        <v>0a83f99a-fb00-ea11-a811-000d3a793530</v>
      </c>
      <c r="BX46" t="inlineStr">
        <is>
          <t>QUEENSTOWN PHARMACY</t>
        </is>
      </c>
      <c r="BY46" t="inlineStr" s="6">
        <f>HYPERLINK("https://metagenicsd365.crm6.dynamics.com/main.aspx?etn=systemuser&amp;pagetype=entityrecord&amp;id=c4de84af-624f-e911-a979-000d3ae135ff","c4de84af-624f-e911-a979-000d3ae135ff")</f>
        <v>c4de84af-624f-e911-a979-000d3ae135ff</v>
      </c>
      <c r="BZ46" t="inlineStr">
        <is>
          <t>Megan Victory</t>
        </is>
      </c>
      <c r="CC46" s="3">
        <v>43776.051805555559</v>
      </c>
      <c r="CH46" t="b">
        <v>0</v>
      </c>
      <c r="CI46" t="inlineStr">
        <is>
          <t>No</t>
        </is>
      </c>
      <c r="CJ46">
        <v>1</v>
      </c>
      <c r="CK46" t="inlineStr">
        <is>
          <t>Default Value</t>
        </is>
      </c>
      <c r="CN46" t="inlineStr" s="6">
        <f>HYPERLINK("https://metagenicsd365.crm6.dynamics.com/main.aspx?etn=pricelevel&amp;pagetype=entityrecord&amp;id=ac6349b4-6aa7-e911-a886-000d3ae106b8","ac6349b4-6aa7-e911-a886-000d3ae106b8")</f>
        <v>ac6349b4-6aa7-e911-a886-000d3ae106b8</v>
      </c>
      <c r="CO46" t="inlineStr">
        <is>
          <t>Retail Products New Zealand</t>
        </is>
      </c>
      <c r="CQ46" t="b">
        <v>0</v>
      </c>
      <c r="CR46" t="inlineStr">
        <is>
          <t>Allow</t>
        </is>
      </c>
      <c r="CS46" t="b">
        <v>0</v>
      </c>
      <c r="CT46" t="inlineStr">
        <is>
          <t>No</t>
        </is>
      </c>
      <c r="CU46" t="b">
        <v>0</v>
      </c>
      <c r="CV46" t="inlineStr">
        <is>
          <t>Allow</t>
        </is>
      </c>
      <c r="CW46" t="b">
        <v>0</v>
      </c>
      <c r="CX46" t="inlineStr">
        <is>
          <t>Allow</t>
        </is>
      </c>
      <c r="CY46" t="b">
        <v>0</v>
      </c>
      <c r="CZ46" t="inlineStr">
        <is>
          <t>Allow</t>
        </is>
      </c>
      <c r="DA46" t="b">
        <v>0</v>
      </c>
      <c r="DB46" t="inlineStr">
        <is>
          <t>Allow</t>
        </is>
      </c>
      <c r="DC46" t="b">
        <v>0</v>
      </c>
      <c r="DD46" t="inlineStr">
        <is>
          <t>Send</t>
        </is>
      </c>
      <c r="DE46" t="inlineStr">
        <is>
          <t>info@queenstownpharmacy.co.nz</t>
        </is>
      </c>
      <c r="DF46" t="inlineStr">
        <is>
          <t>info@queenstownpharmacy.co.nz</t>
        </is>
      </c>
      <c r="DO46">
        <v>1.1000000000</v>
      </c>
      <c r="DQ46" t="b">
        <v>1</v>
      </c>
      <c r="DR46" t="inlineStr">
        <is>
          <t>Allow</t>
        </is>
      </c>
      <c r="EA46" t="b">
        <v>0</v>
      </c>
      <c r="EB46" t="inlineStr">
        <is>
          <t>No</t>
        </is>
      </c>
      <c r="EE46" t="b">
        <v>0</v>
      </c>
      <c r="EF46" t="inlineStr">
        <is>
          <t>No</t>
        </is>
      </c>
      <c r="EJ46" t="inlineStr">
        <is>
          <t>951850000</t>
        </is>
      </c>
      <c r="EK46" t="inlineStr">
        <is>
          <t>Retail</t>
        </is>
      </c>
      <c r="EO46" t="b">
        <v>0</v>
      </c>
      <c r="EP46" t="inlineStr">
        <is>
          <t>No</t>
        </is>
      </c>
      <c r="ES46" t="inlineStr" s="6">
        <f>HYPERLINK("https://metagenicsd365.crm6.dynamics.com/main.aspx?etn=account&amp;pagetype=entityrecord&amp;id=0a83f99a-fb00-ea11-a811-000d3a793530","0a83f99a-fb00-ea11-a811-000d3a793530")</f>
        <v>0a83f99a-fb00-ea11-a811-000d3a793530</v>
      </c>
      <c r="ET46" t="inlineStr">
        <is>
          <t>QUEENSTOWN PHARMACY</t>
        </is>
      </c>
      <c r="EU46" t="inlineStr" s="6">
        <f>HYPERLINK("https://metagenicsd365.crm6.dynamics.com/main.aspx?etn=meta_country&amp;pagetype=entityrecord&amp;id=b5015a9c-41a7-e911-a86f-000d3ae10f1f","b5015a9c-41a7-e911-a86f-000d3ae10f1f")</f>
        <v>b5015a9c-41a7-e911-a86f-000d3ae10f1f</v>
      </c>
      <c r="EV46" t="inlineStr">
        <is>
          <t>New Zealand</t>
        </is>
      </c>
      <c r="EW46">
        <v>951850014</v>
      </c>
      <c r="EX46" t="inlineStr">
        <is>
          <t>RETON</t>
        </is>
      </c>
      <c r="EY46" t="inlineStr" s="6">
        <f>HYPERLINK("https://metagenicsd365.crm6.dynamics.com/main.aspx?etn=meta_postcode&amp;pagetype=entityrecord&amp;id=c8fd8fdc-b2a7-e911-a873-000d3ae10139","c8fd8fdc-b2a7-e911-a873-000d3ae10139")</f>
        <v>c8fd8fdc-b2a7-e911-a873-000d3ae10139</v>
      </c>
      <c r="EZ46" t="inlineStr">
        <is>
          <t>9300</t>
        </is>
      </c>
      <c r="FA46" t="inlineStr" s="6">
        <f>HYPERLINK("https://metagenicsd365.crm6.dynamics.com/main.aspx?etn=meta_suburb&amp;pagetype=entityrecord&amp;id=47a97a0a-b3a7-e911-a875-000d3ae104e7","47a97a0a-b3a7-e911-a875-000d3ae104e7")</f>
        <v>47a97a0a-b3a7-e911-a875-000d3ae104e7</v>
      </c>
      <c r="FB46" t="inlineStr">
        <is>
          <t>QUEENSTOWN</t>
        </is>
      </c>
      <c r="FC46" t="inlineStr" s="6">
        <f>HYPERLINK("https://metagenicsd365.crm6.dynamics.com/main.aspx?etn=businessunit&amp;pagetype=entityrecord&amp;id=185d6825-ff84-e811-a95f-000d3ae058f0","185d6825-ff84-e811-a95f-000d3ae058f0")</f>
        <v>185d6825-ff84-e811-a95f-000d3ae058f0</v>
      </c>
      <c r="FD46" t="inlineStr">
        <is>
          <t>New Zealand</t>
        </is>
      </c>
      <c r="FE46" t="inlineStr">
        <is>
          <t>0000000NZ8897</t>
        </is>
      </c>
      <c r="FJ46" t="inlineStr">
        <is>
          <t>Duplicate ABLs</t>
        </is>
      </c>
      <c r="FM46" t="inlineStr" s="6">
        <f>HYPERLINK("https://metagenicsd365.crm6.dynamics.com/main.aspx?etn=meta_country&amp;pagetype=entityrecord&amp;id=b5015a9c-41a7-e911-a86f-000d3ae10f1f","b5015a9c-41a7-e911-a86f-000d3ae10f1f")</f>
        <v>b5015a9c-41a7-e911-a86f-000d3ae10f1f</v>
      </c>
      <c r="FN46" t="inlineStr">
        <is>
          <t>New Zealand</t>
        </is>
      </c>
      <c r="FO46" t="b">
        <v>0</v>
      </c>
      <c r="FP46" t="inlineStr">
        <is>
          <t>No</t>
        </is>
      </c>
      <c r="FQ46" t="inlineStr">
        <is>
          <t>RETON</t>
        </is>
      </c>
      <c r="FW46" t="b">
        <v>0</v>
      </c>
      <c r="FX46" t="inlineStr">
        <is>
          <t>No</t>
        </is>
      </c>
      <c r="GA46" t="inlineStr">
        <is>
          <t>ABL2856190</t>
        </is>
      </c>
      <c r="GD46">
        <v>951850000</v>
      </c>
      <c r="GE46" t="inlineStr">
        <is>
          <t>Pending</t>
        </is>
      </c>
      <c r="GF46">
        <v>0.0000</v>
      </c>
      <c r="GG46">
        <v>0.0000</v>
      </c>
      <c r="GH46" s="3">
        <v>46122.659502314818</v>
      </c>
      <c r="GI46">
        <v>1</v>
      </c>
      <c r="GL46" t="b">
        <v>1</v>
      </c>
      <c r="GM46" t="inlineStr">
        <is>
          <t>Yes</t>
        </is>
      </c>
      <c r="GO46" s="3">
        <v>46122.659502314818</v>
      </c>
      <c r="GR46" s="3">
        <v>46122.659502314818</v>
      </c>
      <c r="GU46" s="3">
        <v>46122.659502314818</v>
      </c>
      <c r="GY46" t="inlineStr">
        <is>
          <t>NZ8897</t>
        </is>
      </c>
      <c r="HB46" t="inlineStr">
        <is>
          <t>QUEENSTOWN PHARMACY</t>
        </is>
      </c>
      <c r="HI46">
        <v>0.0000</v>
      </c>
      <c r="HJ46">
        <v>0.0000</v>
      </c>
      <c r="HK46" s="3">
        <v>46122.659502314818</v>
      </c>
      <c r="HL46">
        <v>1</v>
      </c>
      <c r="HM46">
        <v>0.0000</v>
      </c>
      <c r="HN46">
        <v>0.0000</v>
      </c>
      <c r="HO46" s="3">
        <v>46122.659502314818</v>
      </c>
      <c r="HP46">
        <v>1</v>
      </c>
      <c r="HX46" t="inlineStr" s="6">
        <f>HYPERLINK("https://metagenicsd365.crm6.dynamics.com/main.aspx?etn=meta_paymentterm&amp;pagetype=entityrecord&amp;id=884d37f0-37ba-eb11-8236-00224817f624","884d37f0-37ba-eb11-8236-00224817f624")</f>
        <v>884d37f0-37ba-eb11-8236-00224817f624</v>
      </c>
      <c r="HY46" t="inlineStr">
        <is>
          <t>Net 20 Days End of Month</t>
        </is>
      </c>
      <c r="ID46" t="inlineStr">
        <is>
          <t>CNR BRECON &amp; ISLE STREET</t>
        </is>
      </c>
      <c r="IE46" t="inlineStr" s="6">
        <f>HYPERLINK("https://metagenicsd365.crm6.dynamics.com/main.aspx?etn=meta_country&amp;pagetype=entityrecord&amp;id=b5015a9c-41a7-e911-a86f-000d3ae10f1f","b5015a9c-41a7-e911-a86f-000d3ae10f1f")</f>
        <v>b5015a9c-41a7-e911-a86f-000d3ae10f1f</v>
      </c>
      <c r="IF46" t="inlineStr">
        <is>
          <t>New Zealand</t>
        </is>
      </c>
      <c r="IG46" t="inlineStr" s="6">
        <f>HYPERLINK("https://metagenicsd365.crm6.dynamics.com/main.aspx?etn=meta_postcode&amp;pagetype=entityrecord&amp;id=c8fd8fdc-b2a7-e911-a873-000d3ae10139","c8fd8fdc-b2a7-e911-a873-000d3ae10139")</f>
        <v>c8fd8fdc-b2a7-e911-a873-000d3ae10139</v>
      </c>
      <c r="IH46" t="inlineStr">
        <is>
          <t>9300</t>
        </is>
      </c>
      <c r="II46" t="inlineStr" s="6">
        <f>HYPERLINK("https://metagenicsd365.crm6.dynamics.com/main.aspx?etn=meta_suburb&amp;pagetype=entityrecord&amp;id=47a97a0a-b3a7-e911-a875-000d3ae104e7","47a97a0a-b3a7-e911-a875-000d3ae104e7")</f>
        <v>47a97a0a-b3a7-e911-a875-000d3ae104e7</v>
      </c>
      <c r="IJ46" t="inlineStr">
        <is>
          <t>QUEENSTOWN</t>
        </is>
      </c>
      <c r="IK46" t="inlineStr" s="6">
        <f>HYPERLINK("https://metagenicsd365.crm6.dynamics.com/main.aspx?etn=meta_postcode&amp;pagetype=entityrecord&amp;id=c8fd8fdc-b2a7-e911-a873-000d3ae10139","c8fd8fdc-b2a7-e911-a873-000d3ae10139")</f>
        <v>c8fd8fdc-b2a7-e911-a873-000d3ae10139</v>
      </c>
      <c r="IL46" t="inlineStr">
        <is>
          <t>9300</t>
        </is>
      </c>
      <c r="IZ46">
        <v>951850000</v>
      </c>
      <c r="JA46" t="inlineStr">
        <is>
          <t>Billing</t>
        </is>
      </c>
      <c r="JE46" t="b">
        <v>0</v>
      </c>
      <c r="JF46" t="inlineStr">
        <is>
          <t>No</t>
        </is>
      </c>
      <c r="JI46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JJ46" t="inlineStr">
        <is>
          <t># HWORLD</t>
        </is>
      </c>
      <c r="JK46" t="inlineStr" s="6">
        <f>HYPERLINK("https://metagenicsd365.crm6.dynamics.com/main.aspx?etn=meta_segment&amp;pagetype=entityrecord&amp;id=e31c2e46-c9d1-ed11-a7c7-00224818a8ea","e31c2e46-c9d1-ed11-a7c7-00224818a8ea")</f>
        <v>e31c2e46-c9d1-ed11-a7c7-00224818a8ea</v>
      </c>
      <c r="JL46" t="inlineStr">
        <is>
          <t>Duplicates</t>
        </is>
      </c>
      <c r="JM46" t="inlineStr" s="6">
        <f>HYPERLINK("https://metagenicsd365.crm6.dynamics.com/main.aspx?etn=territory&amp;pagetype=entityrecord&amp;id=c94322e5-8030-eb11-a813-000d3ae15585","c94322e5-8030-eb11-a813-000d3ae15585")</f>
        <v>c94322e5-8030-eb11-a813-000d3ae15585</v>
      </c>
      <c r="JN46" t="inlineStr">
        <is>
          <t>NRH0</t>
        </is>
      </c>
      <c r="JO46" t="inlineStr">
        <is>
          <t>http://hwndw02.healthworld.com.au/reports/report/HealthWorldAnalytics/REPORTS/CRMCustomerCardMaster?rc:Toolbar=false&amp;CustomerCodeLabel=NZ8897_9300</t>
        </is>
      </c>
      <c r="JT46">
        <v>803920000</v>
      </c>
      <c r="JU46" t="inlineStr">
        <is>
          <t>CP</t>
        </is>
      </c>
      <c r="JY46" t="inlineStr" s="6">
        <f>HYPERLINK("https://metagenicsd365.crm6.dynamics.com/main.aspx?etn=meta_suburb&amp;pagetype=entityrecord&amp;id=47a97a0a-b3a7-e911-a875-000d3ae104e7","47a97a0a-b3a7-e911-a875-000d3ae104e7")</f>
        <v>47a97a0a-b3a7-e911-a875-000d3ae104e7</v>
      </c>
      <c r="JZ46" t="inlineStr">
        <is>
          <t>QUEENSTOWN</t>
        </is>
      </c>
      <c r="KA46" t="inlineStr">
        <is>
          <t>Yes</t>
        </is>
      </c>
      <c r="KB46">
        <v>0.0000</v>
      </c>
      <c r="KC46">
        <v>0.0000</v>
      </c>
      <c r="KD46" s="3">
        <v>46122.659502314818</v>
      </c>
      <c r="KE46">
        <v>1</v>
      </c>
      <c r="KF46">
        <v>0.0000</v>
      </c>
      <c r="KG46">
        <v>0.0000</v>
      </c>
      <c r="KH46" s="3">
        <v>46122.659502314818</v>
      </c>
      <c r="KI46">
        <v>1</v>
      </c>
      <c r="KJ46">
        <v>0.0000</v>
      </c>
      <c r="KK46">
        <v>0.0000</v>
      </c>
      <c r="KL46" s="3">
        <v>46122.659502314818</v>
      </c>
      <c r="KM46">
        <v>1</v>
      </c>
      <c r="KP46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46" t="inlineStr">
        <is>
          <t>Sriganesh Subramanian</t>
        </is>
      </c>
      <c r="KT46" s="3">
        <v>46089.951319444444</v>
      </c>
      <c r="LH46" t="inlineStr">
        <is>
          <t>QUEENSTOWN PHARMACY</t>
        </is>
      </c>
      <c r="LO46">
        <v>0</v>
      </c>
      <c r="LP46" s="3">
        <v>46122.659502314818</v>
      </c>
      <c r="LQ46">
        <v>1</v>
      </c>
      <c r="LR46">
        <v>0.0000</v>
      </c>
      <c r="LS46">
        <v>0.0000</v>
      </c>
      <c r="LT46" s="3">
        <v>46122.659502314818</v>
      </c>
      <c r="LU46">
        <v>1</v>
      </c>
      <c r="LY46" t="inlineStr" s="6">
        <f>HYPERLINK("https://metagenicsd365.crm6.dynamics.com/main.aspx?etn=team&amp;pagetype=entityrecord&amp;id=195d6825-ff84-e811-a95f-000d3ae058f0","195d6825-ff84-e811-a95f-000d3ae058f0")</f>
        <v>195d6825-ff84-e811-a95f-000d3ae058f0</v>
      </c>
      <c r="LZ46" t="inlineStr">
        <is>
          <t>New Zealand</t>
        </is>
      </c>
      <c r="MA46" t="inlineStr">
        <is>
          <t>team</t>
        </is>
      </c>
      <c r="MD46" t="inlineStr" s="6">
        <f>HYPERLINK("https://metagenicsd365.crm6.dynamics.com/main.aspx?etn=businessunit&amp;pagetype=entityrecord&amp;id=185d6825-ff84-e811-a95f-000d3ae058f0","185d6825-ff84-e811-a95f-000d3ae058f0")</f>
        <v>185d6825-ff84-e811-a95f-000d3ae058f0</v>
      </c>
      <c r="ME46" t="inlineStr">
        <is>
          <t>New Zealand</t>
        </is>
      </c>
      <c r="MF46" t="inlineStr" s="6">
        <f>HYPERLINK("https://metagenicsd365.crm6.dynamics.com/main.aspx?etn=team&amp;pagetype=entityrecord&amp;id=195d6825-ff84-e811-a95f-000d3ae058f0","195d6825-ff84-e811-a95f-000d3ae058f0")</f>
        <v>195d6825-ff84-e811-a95f-000d3ae058f0</v>
      </c>
      <c r="MJ46" t="inlineStr" s="6">
        <f>HYPERLINK("https://metagenicsd365.crm6.dynamics.com/main.aspx?etn=account&amp;pagetype=entityrecord&amp;id=0a83f99a-fb00-ea11-a811-000d3a793530","0a83f99a-fb00-ea11-a811-000d3a793530")</f>
        <v>0a83f99a-fb00-ea11-a811-000d3a793530</v>
      </c>
      <c r="MK46" t="inlineStr">
        <is>
          <t>QUEENSTOWN PHARMACY</t>
        </is>
      </c>
      <c r="ML46" t="b">
        <v>0</v>
      </c>
      <c r="MM46" t="inlineStr">
        <is>
          <t>No</t>
        </is>
      </c>
      <c r="MT46">
        <v>1</v>
      </c>
      <c r="MU46" t="inlineStr">
        <is>
          <t>Any</t>
        </is>
      </c>
      <c r="NB46" t="inlineStr" s="6">
        <f>HYPERLINK("https://metagenicsd365.crm6.dynamics.com/main.aspx?etn=contact&amp;pagetype=entityrecord&amp;id=44fb6509-fb00-ea11-a811-000d3a793530","44fb6509-fb00-ea11-a811-000d3a793530")</f>
        <v>44fb6509-fb00-ea11-a811-000d3a793530</v>
      </c>
      <c r="NC46" t="inlineStr">
        <is>
          <t>LYDIA BOULAY  - OWNERS</t>
        </is>
      </c>
      <c r="NJ46">
        <v>1</v>
      </c>
      <c r="NK46" t="inlineStr">
        <is>
          <t>Airborne</t>
        </is>
      </c>
      <c r="NR46">
        <v>1</v>
      </c>
      <c r="NS46" t="inlineStr">
        <is>
          <t>Inactive</t>
        </is>
      </c>
      <c r="NT46">
        <v>2</v>
      </c>
      <c r="NU46" t="inlineStr">
        <is>
          <t>Inactive</t>
        </is>
      </c>
      <c r="NX46" t="inlineStr">
        <is>
          <t>03 441 0590</t>
        </is>
      </c>
      <c r="NY46" t="inlineStr">
        <is>
          <t>03 441 0590</t>
        </is>
      </c>
      <c r="NZ46" t="inlineStr">
        <is>
          <t>03 441 0590</t>
        </is>
      </c>
      <c r="OA46">
        <v>1</v>
      </c>
      <c r="OB46" t="inlineStr">
        <is>
          <t>Default Value</t>
        </is>
      </c>
      <c r="OH46" t="inlineStr" s="6">
        <f>HYPERLINK("https://metagenicsd365.crm6.dynamics.com/main.aspx?etn=transactioncurrency&amp;pagetype=entityrecord&amp;id=75fa7107-58cb-e811-a965-000d3ae0575b","75fa7107-58cb-e811-a965-000d3ae0575b")</f>
        <v>75fa7107-58cb-e811-a965-000d3ae0575b</v>
      </c>
      <c r="OI46" t="inlineStr">
        <is>
          <t>New Zealand Dollar</t>
        </is>
      </c>
      <c r="OL46" t="inlineStr">
        <is>
          <t>0x000000003DB89FE5</t>
        </is>
      </c>
    </row>
    <row r="47">
      <c r="C47">
        <v>1</v>
      </c>
      <c r="D47" t="inlineStr">
        <is>
          <t>Default Value</t>
        </is>
      </c>
      <c r="E47" t="inlineStr" s="6">
        <f>HYPERLINK("https://metagenicsd365.crm6.dynamics.com/main.aspx?etn=account&amp;pagetype=entityrecord&amp;id=673b99aa-1101-ea11-a811-000d3a793530","673b99aa-1101-ea11-a811-000d3a793530")</f>
        <v>673b99aa-1101-ea11-a811-000d3a793530</v>
      </c>
      <c r="F47" t="inlineStr">
        <is>
          <t>000000310280</t>
        </is>
      </c>
      <c r="G47">
        <v>1</v>
      </c>
      <c r="H47" t="inlineStr">
        <is>
          <t>Default Value</t>
        </is>
      </c>
      <c r="I47" t="inlineStr" s="6">
        <f>HYPERLINK("https://metagenicsd365.crm6.dynamics.com/main.aspx?etn=account&amp;pagetype=entityrecord&amp;id=e81bb652-ff41-42cb-aa66-672d41f115e1","e81bb652-ff41-42cb-aa66-672d41f115e1")</f>
        <v>e81bb652-ff41-42cb-aa66-672d41f115e1</v>
      </c>
      <c r="M47" t="inlineStr">
        <is>
          <t>15 Clover Court
TAS</t>
        </is>
      </c>
      <c r="T47" t="inlineStr">
        <is>
          <t>15 Clover Court</t>
        </is>
      </c>
      <c r="AD47" t="inlineStr">
        <is>
          <t>TAS</t>
        </is>
      </c>
      <c r="AJ47" t="inlineStr" s="6">
        <f>HYPERLINK("https://metagenicsd365.crm6.dynamics.com/main.aspx?etn=account&amp;pagetype=entityrecord&amp;id=18e928c9-573c-4a7e-a807-47925cf1889d","18e928c9-573c-4a7e-a807-47925cf1889d")</f>
        <v>18e928c9-573c-4a7e-a807-47925cf1889d</v>
      </c>
      <c r="AK47">
        <v>1</v>
      </c>
      <c r="AL47" t="inlineStr">
        <is>
          <t>Default Value</t>
        </is>
      </c>
      <c r="AN47" t="inlineStr">
        <is>
          <t>741 Nudgee Road
QLD</t>
        </is>
      </c>
      <c r="AR47">
        <v>1</v>
      </c>
      <c r="AS47" t="inlineStr">
        <is>
          <t>Default Value</t>
        </is>
      </c>
      <c r="AU47" t="inlineStr">
        <is>
          <t>741 Nudgee Road</t>
        </is>
      </c>
      <c r="BC47">
        <v>1</v>
      </c>
      <c r="BD47" t="inlineStr">
        <is>
          <t>Default Value</t>
        </is>
      </c>
      <c r="BE47" t="inlineStr">
        <is>
          <t>QLD</t>
        </is>
      </c>
      <c r="BU47">
        <v>1</v>
      </c>
      <c r="BV47" t="inlineStr">
        <is>
          <t>Default Value</t>
        </is>
      </c>
      <c r="BY47" t="inlineStr" s="6">
        <f>HYPERLINK("https://metagenicsd365.crm6.dynamics.com/main.aspx?etn=systemuser&amp;pagetype=entityrecord&amp;id=c4de84af-624f-e911-a979-000d3ae135ff","c4de84af-624f-e911-a979-000d3ae135ff")</f>
        <v>c4de84af-624f-e911-a979-000d3ae135ff</v>
      </c>
      <c r="BZ47" t="inlineStr">
        <is>
          <t>Megan Victory</t>
        </is>
      </c>
      <c r="CC47" s="3">
        <v>43776.159780092596</v>
      </c>
      <c r="CF47">
        <v>0.0000</v>
      </c>
      <c r="CG47">
        <v>0.0000</v>
      </c>
      <c r="CH47" t="b">
        <v>0</v>
      </c>
      <c r="CI47" t="inlineStr">
        <is>
          <t>No</t>
        </is>
      </c>
      <c r="CJ47">
        <v>1</v>
      </c>
      <c r="CK47" t="inlineStr">
        <is>
          <t>Default Value</t>
        </is>
      </c>
      <c r="CN47" t="inlineStr" s="6">
        <f>HYPERLINK("https://metagenicsd365.crm6.dynamics.com/main.aspx?etn=pricelevel&amp;pagetype=entityrecord&amp;id=10e3d934-44a7-e911-a86f-000d3ae10f1f","10e3d934-44a7-e911-a86f-000d3ae10f1f")</f>
        <v>10e3d934-44a7-e911-a86f-000d3ae10f1f</v>
      </c>
      <c r="CO47" t="inlineStr">
        <is>
          <t>Retail Products Australia</t>
        </is>
      </c>
      <c r="CQ47" t="b">
        <v>0</v>
      </c>
      <c r="CR47" t="inlineStr">
        <is>
          <t>Allow</t>
        </is>
      </c>
      <c r="CS47" t="b">
        <v>0</v>
      </c>
      <c r="CT47" t="inlineStr">
        <is>
          <t>No</t>
        </is>
      </c>
      <c r="CU47" t="b">
        <v>0</v>
      </c>
      <c r="CV47" t="inlineStr">
        <is>
          <t>Allow</t>
        </is>
      </c>
      <c r="CW47" t="b">
        <v>0</v>
      </c>
      <c r="CX47" t="inlineStr">
        <is>
          <t>Allow</t>
        </is>
      </c>
      <c r="CY47" t="b">
        <v>0</v>
      </c>
      <c r="CZ47" t="inlineStr">
        <is>
          <t>Allow</t>
        </is>
      </c>
      <c r="DA47" t="b">
        <v>0</v>
      </c>
      <c r="DB47" t="inlineStr">
        <is>
          <t>Allow</t>
        </is>
      </c>
      <c r="DC47" t="b">
        <v>0</v>
      </c>
      <c r="DD47" t="inlineStr">
        <is>
          <t>Send</t>
        </is>
      </c>
      <c r="DE47" t="inlineStr">
        <is>
          <t>sboyd@metagenics.com.au</t>
        </is>
      </c>
      <c r="DF47" t="inlineStr">
        <is>
          <t>sboyd@metagenics.com.au</t>
        </is>
      </c>
      <c r="DO47">
        <v>1.0000000000</v>
      </c>
      <c r="DQ47" t="b">
        <v>1</v>
      </c>
      <c r="DR47" t="inlineStr">
        <is>
          <t>Allow</t>
        </is>
      </c>
      <c r="EA47" t="b">
        <v>0</v>
      </c>
      <c r="EB47" t="inlineStr">
        <is>
          <t>No</t>
        </is>
      </c>
      <c r="EE47" t="b">
        <v>0</v>
      </c>
      <c r="EF47" t="inlineStr">
        <is>
          <t>No</t>
        </is>
      </c>
      <c r="EG47" t="inlineStr">
        <is>
          <t>All</t>
        </is>
      </c>
      <c r="EH47" t="inlineStr">
        <is>
          <t>100000004</t>
        </is>
      </c>
      <c r="EI47" t="inlineStr">
        <is>
          <t>Samples</t>
        </is>
      </c>
      <c r="EJ47" t="inlineStr">
        <is>
          <t>951850000</t>
        </is>
      </c>
      <c r="EK47" t="inlineStr">
        <is>
          <t>Retail</t>
        </is>
      </c>
      <c r="EL47" s="3">
        <v>44340.237210648149</v>
      </c>
      <c r="EM47" s="3">
        <v>93138.99998842593</v>
      </c>
      <c r="EO47" t="b">
        <v>0</v>
      </c>
      <c r="EP47" t="inlineStr">
        <is>
          <t>No</t>
        </is>
      </c>
      <c r="ES47" t="inlineStr" s="6">
        <f>HYPERLINK("https://metagenicsd365.crm6.dynamics.com/main.aspx?etn=account&amp;pagetype=entityrecord&amp;id=bbcdfb9d-9ba7-e911-a886-000d3ae106b8","bbcdfb9d-9ba7-e911-a886-000d3ae106b8")</f>
        <v>bbcdfb9d-9ba7-e911-a886-000d3ae106b8</v>
      </c>
      <c r="ET47" t="inlineStr">
        <is>
          <t>CLOSED T306 SHARON BOYD</t>
        </is>
      </c>
      <c r="EU47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47" t="inlineStr">
        <is>
          <t>Australia</t>
        </is>
      </c>
      <c r="EW47">
        <v>951850016</v>
      </c>
      <c r="EX47" t="inlineStr">
        <is>
          <t>SMR</t>
        </is>
      </c>
      <c r="EY47" t="inlineStr" s="6">
        <f>HYPERLINK("https://metagenicsd365.crm6.dynamics.com/main.aspx?etn=meta_postcode&amp;pagetype=entityrecord&amp;id=28b29a92-b2a7-e911-a873-000d3ae10139","28b29a92-b2a7-e911-a873-000d3ae10139")</f>
        <v>28b29a92-b2a7-e911-a873-000d3ae10139</v>
      </c>
      <c r="EZ47" t="inlineStr">
        <is>
          <t>4013</t>
        </is>
      </c>
      <c r="FA47" t="inlineStr" s="6">
        <f>HYPERLINK("https://metagenicsd365.crm6.dynamics.com/main.aspx?etn=meta_suburb&amp;pagetype=entityrecord&amp;id=6cb029dd-b3a7-e911-a875-000d3ae104e7","6cb029dd-b3a7-e911-a875-000d3ae104e7")</f>
        <v>6cb029dd-b3a7-e911-a875-000d3ae104e7</v>
      </c>
      <c r="FB47" t="inlineStr">
        <is>
          <t>NORTHGATE</t>
        </is>
      </c>
      <c r="FC47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47" t="inlineStr">
        <is>
          <t>Australia</t>
        </is>
      </c>
      <c r="FE47" t="inlineStr">
        <is>
          <t>0000000000000310280</t>
        </is>
      </c>
      <c r="FM47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47" t="inlineStr">
        <is>
          <t>Australia</t>
        </is>
      </c>
      <c r="FO47" t="b">
        <v>0</v>
      </c>
      <c r="FP47" t="inlineStr">
        <is>
          <t>No</t>
        </is>
      </c>
      <c r="FQ47" t="inlineStr">
        <is>
          <t>RETON</t>
        </is>
      </c>
      <c r="FW47" t="b">
        <v>0</v>
      </c>
      <c r="FX47" t="inlineStr">
        <is>
          <t>No</t>
        </is>
      </c>
      <c r="FZ47" t="inlineStr">
        <is>
          <t>Closed</t>
        </is>
      </c>
      <c r="GA47" t="inlineStr">
        <is>
          <t>ABL2946085</t>
        </is>
      </c>
      <c r="GD47">
        <v>951850000</v>
      </c>
      <c r="GE47" t="inlineStr">
        <is>
          <t>Pending</t>
        </is>
      </c>
      <c r="GF47">
        <v>93.6000</v>
      </c>
      <c r="GG47">
        <v>93.6000</v>
      </c>
      <c r="GH47" s="3">
        <v>46122.659502314818</v>
      </c>
      <c r="GI47">
        <v>1</v>
      </c>
      <c r="GL47" t="b">
        <v>1</v>
      </c>
      <c r="GM47" t="inlineStr">
        <is>
          <t>Yes</t>
        </is>
      </c>
      <c r="GO47" s="3">
        <v>46122.659502314818</v>
      </c>
      <c r="GR47" s="3">
        <v>46122.659502314818</v>
      </c>
      <c r="GT47" s="3">
        <v>44060.133738425924</v>
      </c>
      <c r="GU47" s="3">
        <v>46122.659502314818</v>
      </c>
      <c r="GV47">
        <v>1</v>
      </c>
      <c r="GY47" t="inlineStr">
        <is>
          <t>000000310280</t>
        </is>
      </c>
      <c r="GZ47" t="inlineStr">
        <is>
          <t>M001</t>
        </is>
      </c>
      <c r="HB47" t="inlineStr">
        <is>
          <t>T306 SAMPLES SHARON BOYD (M001)</t>
        </is>
      </c>
      <c r="HI47">
        <v>0.0000</v>
      </c>
      <c r="HJ47">
        <v>0.0000</v>
      </c>
      <c r="HK47" s="3">
        <v>46122.659502314818</v>
      </c>
      <c r="HL47">
        <v>1</v>
      </c>
      <c r="HM47">
        <v>0.0000</v>
      </c>
      <c r="HN47">
        <v>0.0000</v>
      </c>
      <c r="HO47" s="3">
        <v>46122.659502314818</v>
      </c>
      <c r="HP47">
        <v>1</v>
      </c>
      <c r="HX47" t="inlineStr" s="6">
        <f>HYPERLINK("https://metagenicsd365.crm6.dynamics.com/main.aspx?etn=meta_paymentterm&amp;pagetype=entityrecord&amp;id=0768c959-38ba-eb11-8236-00224817f624","0768c959-38ba-eb11-8236-00224817f624")</f>
        <v>0768c959-38ba-eb11-8236-00224817f624</v>
      </c>
      <c r="HY47" t="inlineStr">
        <is>
          <t>Net 30 Days End of Month</t>
        </is>
      </c>
      <c r="IC47" t="inlineStr">
        <is>
          <t>TAS</t>
        </is>
      </c>
      <c r="ID47" t="inlineStr">
        <is>
          <t>15 Clover Court</t>
        </is>
      </c>
      <c r="IE47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47" t="inlineStr">
        <is>
          <t>Australia</t>
        </is>
      </c>
      <c r="IG47" t="inlineStr" s="6">
        <f>HYPERLINK("https://metagenicsd365.crm6.dynamics.com/main.aspx?etn=meta_postcode&amp;pagetype=entityrecord&amp;id=9562aa7d-b2a7-e911-a862-000d3ae10c61","9562aa7d-b2a7-e911-a862-000d3ae10c61")</f>
        <v>9562aa7d-b2a7-e911-a862-000d3ae10c61</v>
      </c>
      <c r="IH47" t="inlineStr">
        <is>
          <t>7173</t>
        </is>
      </c>
      <c r="II47" t="inlineStr" s="6">
        <f>HYPERLINK("https://metagenicsd365.crm6.dynamics.com/main.aspx?etn=meta_suburb&amp;pagetype=entityrecord&amp;id=950ff579-b6a7-e911-a86f-000d3ae10f1f","950ff579-b6a7-e911-a86f-000d3ae10f1f")</f>
        <v>950ff579-b6a7-e911-a86f-000d3ae10f1f</v>
      </c>
      <c r="IJ47" t="inlineStr">
        <is>
          <t>CARLTON</t>
        </is>
      </c>
      <c r="IK47" t="inlineStr" s="6">
        <f>HYPERLINK("https://metagenicsd365.crm6.dynamics.com/main.aspx?etn=meta_postcode&amp;pagetype=entityrecord&amp;id=9562aa7d-b2a7-e911-a862-000d3ae10c61","9562aa7d-b2a7-e911-a862-000d3ae10c61")</f>
        <v>9562aa7d-b2a7-e911-a862-000d3ae10c61</v>
      </c>
      <c r="IL47" t="inlineStr">
        <is>
          <t>7173</t>
        </is>
      </c>
      <c r="IS47" t="inlineStr" s="6">
        <f>HYPERLINK("https://metagenicsd365.crm6.dynamics.com/main.aspx?etn=meta_accounttradingterms&amp;pagetype=entityrecord&amp;id=97807c33-95a9-e911-a870-000d3ae10f1f","97807c33-95a9-e911-a870-000d3ae10f1f")</f>
        <v>97807c33-95a9-e911-a870-000d3ae10f1f</v>
      </c>
      <c r="IT47" t="inlineStr">
        <is>
          <t>T306 KRISTY RICHARDSON - SAMPLES- BASE   </t>
        </is>
      </c>
      <c r="IZ47">
        <v>951850001</v>
      </c>
      <c r="JA47" t="inlineStr">
        <is>
          <t>Location</t>
        </is>
      </c>
      <c r="JE47" t="b">
        <v>0</v>
      </c>
      <c r="JF47" t="inlineStr">
        <is>
          <t>No</t>
        </is>
      </c>
      <c r="JI47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JJ47" t="inlineStr">
        <is>
          <t># HWORLD</t>
        </is>
      </c>
      <c r="JK47" t="inlineStr" s="6">
        <f>HYPERLINK("https://metagenicsd365.crm6.dynamics.com/main.aspx?etn=meta_segment&amp;pagetype=entityrecord&amp;id=42e3a56e-8030-eb11-a813-000d3ae15585","42e3a56e-8030-eb11-a813-000d3ae15585")</f>
        <v>42e3a56e-8030-eb11-a813-000d3ae15585</v>
      </c>
      <c r="JL47" t="inlineStr">
        <is>
          <t>8 - Non called upon</t>
        </is>
      </c>
      <c r="JM47" t="inlineStr" s="6">
        <f>HYPERLINK("https://metagenicsd365.crm6.dynamics.com/main.aspx?etn=territory&amp;pagetype=entityrecord&amp;id=c64322e5-8030-eb11-a813-000d3ae15585","c64322e5-8030-eb11-a813-000d3ae15585")</f>
        <v>c64322e5-8030-eb11-a813-000d3ae15585</v>
      </c>
      <c r="JN47" t="inlineStr">
        <is>
          <t>ARH0</t>
        </is>
      </c>
      <c r="JO47" t="inlineStr">
        <is>
          <t>http://hwndw02.healthworld.com.au/reports/report/HealthWorldAnalytics/REPORTS/CRMCustomerCardMaster?rc:Toolbar=false&amp;CustomerCodeLabel=310280_7173</t>
        </is>
      </c>
      <c r="JT47">
        <v>951850001</v>
      </c>
      <c r="JU47" t="inlineStr">
        <is>
          <t>EXP - Standard Shipping</t>
        </is>
      </c>
      <c r="JY47" t="inlineStr" s="6">
        <f>HYPERLINK("https://metagenicsd365.crm6.dynamics.com/main.aspx?etn=meta_suburb&amp;pagetype=entityrecord&amp;id=950ff579-b6a7-e911-a86f-000d3ae10f1f","950ff579-b6a7-e911-a86f-000d3ae10f1f")</f>
        <v>950ff579-b6a7-e911-a86f-000d3ae10f1f</v>
      </c>
      <c r="JZ47" t="inlineStr">
        <is>
          <t>CARLTON</t>
        </is>
      </c>
      <c r="KB47">
        <v>0.0000</v>
      </c>
      <c r="KC47">
        <v>0.0000</v>
      </c>
      <c r="KD47" s="3">
        <v>46122.659502314818</v>
      </c>
      <c r="KE47">
        <v>1</v>
      </c>
      <c r="KF47">
        <v>0.0000</v>
      </c>
      <c r="KG47">
        <v>0.0000</v>
      </c>
      <c r="KH47" s="3">
        <v>46122.659502314818</v>
      </c>
      <c r="KI47">
        <v>1</v>
      </c>
      <c r="KJ47">
        <v>93.6000</v>
      </c>
      <c r="KK47">
        <v>93.6000</v>
      </c>
      <c r="KL47" s="3">
        <v>46122.659502314818</v>
      </c>
      <c r="KM47">
        <v>1</v>
      </c>
      <c r="KP47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47" t="inlineStr">
        <is>
          <t>Sriganesh Subramanian</t>
        </is>
      </c>
      <c r="KT47" s="3">
        <v>46110.924675925926</v>
      </c>
      <c r="LH47" t="inlineStr">
        <is>
          <t>T306 SAMPLES SHARON BOYD (M001)</t>
        </is>
      </c>
      <c r="LO47">
        <v>0</v>
      </c>
      <c r="LP47" s="3">
        <v>46122.659502314818</v>
      </c>
      <c r="LQ47">
        <v>1</v>
      </c>
      <c r="LR47">
        <v>0.0000</v>
      </c>
      <c r="LS47">
        <v>0.0000</v>
      </c>
      <c r="LT47" s="3">
        <v>46122.659502314818</v>
      </c>
      <c r="LU47">
        <v>1</v>
      </c>
      <c r="LY47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47" t="inlineStr">
        <is>
          <t>Australia</t>
        </is>
      </c>
      <c r="MA47" t="inlineStr">
        <is>
          <t>team</t>
        </is>
      </c>
      <c r="MD47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47" t="inlineStr">
        <is>
          <t>Australia</t>
        </is>
      </c>
      <c r="MF47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J47" t="inlineStr" s="6">
        <f>HYPERLINK("https://metagenicsd365.crm6.dynamics.com/main.aspx?etn=account&amp;pagetype=entityrecord&amp;id=bbcdfb9d-9ba7-e911-a886-000d3ae106b8","bbcdfb9d-9ba7-e911-a886-000d3ae106b8")</f>
        <v>bbcdfb9d-9ba7-e911-a886-000d3ae106b8</v>
      </c>
      <c r="MK47" t="inlineStr">
        <is>
          <t>CLOSED T306 SHARON BOYD</t>
        </is>
      </c>
      <c r="ML47" t="b">
        <v>0</v>
      </c>
      <c r="MM47" t="inlineStr">
        <is>
          <t>No</t>
        </is>
      </c>
      <c r="MT47">
        <v>1</v>
      </c>
      <c r="MU47" t="inlineStr">
        <is>
          <t>Any</t>
        </is>
      </c>
      <c r="NJ47">
        <v>1</v>
      </c>
      <c r="NK47" t="inlineStr">
        <is>
          <t>Airborne</t>
        </is>
      </c>
      <c r="NR47">
        <v>0</v>
      </c>
      <c r="NS47" t="inlineStr">
        <is>
          <t>Active</t>
        </is>
      </c>
      <c r="NT47">
        <v>1</v>
      </c>
      <c r="NU47" t="inlineStr">
        <is>
          <t>Active</t>
        </is>
      </c>
      <c r="NX47" t="inlineStr">
        <is>
          <t>0478 474 744</t>
        </is>
      </c>
      <c r="NY47" t="inlineStr">
        <is>
          <t>0478 474 744</t>
        </is>
      </c>
      <c r="NZ47" t="inlineStr">
        <is>
          <t>0449824913</t>
        </is>
      </c>
      <c r="OA47">
        <v>1</v>
      </c>
      <c r="OB47" t="inlineStr">
        <is>
          <t>Default Value</t>
        </is>
      </c>
      <c r="OG47">
        <v>0</v>
      </c>
      <c r="OH47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47" t="inlineStr">
        <is>
          <t>Australian Dollar</t>
        </is>
      </c>
      <c r="OL47" t="inlineStr">
        <is>
          <t>0x000000003E619A32</t>
        </is>
      </c>
    </row>
    <row r="48">
      <c r="C48">
        <v>1</v>
      </c>
      <c r="D48" t="inlineStr">
        <is>
          <t>Default Value</t>
        </is>
      </c>
      <c r="E48" t="inlineStr" s="6">
        <f>HYPERLINK("https://metagenicsd365.crm6.dynamics.com/main.aspx?etn=account&amp;pagetype=entityrecord&amp;id=6d20d9be-1d01-ea11-a811-000d3a793530","6d20d9be-1d01-ea11-a811-000d3a793530")</f>
        <v>6d20d9be-1d01-ea11-a811-000d3a793530</v>
      </c>
      <c r="F48" t="inlineStr">
        <is>
          <t>NZ8898</t>
        </is>
      </c>
      <c r="G48">
        <v>1</v>
      </c>
      <c r="H48" t="inlineStr">
        <is>
          <t>Default Value</t>
        </is>
      </c>
      <c r="I48" t="inlineStr" s="6">
        <f>HYPERLINK("https://metagenicsd365.crm6.dynamics.com/main.aspx?etn=account&amp;pagetype=entityrecord&amp;id=82d36fbd-f6e4-45fd-a6f9-e3033fb31b10","82d36fbd-f6e4-45fd-a6f9-e3033fb31b10")</f>
        <v>82d36fbd-f6e4-45fd-a6f9-e3033fb31b10</v>
      </c>
      <c r="M48" t="inlineStr">
        <is>
          <t>PO BOX 2074
WAKATIPU HEIGHTS
OTA</t>
        </is>
      </c>
      <c r="T48" t="inlineStr">
        <is>
          <t>PO BOX 2074</t>
        </is>
      </c>
      <c r="U48" t="inlineStr">
        <is>
          <t>WAKATIPU HEIGHTS</t>
        </is>
      </c>
      <c r="AD48" t="inlineStr">
        <is>
          <t>OTA</t>
        </is>
      </c>
      <c r="AJ48" t="inlineStr" s="6">
        <f>HYPERLINK("https://metagenicsd365.crm6.dynamics.com/main.aspx?etn=account&amp;pagetype=entityrecord&amp;id=c5cae272-f19e-4d38-af67-e81b8fa05295","c5cae272-f19e-4d38-af67-e81b8fa05295")</f>
        <v>c5cae272-f19e-4d38-af67-e81b8fa05295</v>
      </c>
      <c r="AK48">
        <v>1</v>
      </c>
      <c r="AL48" t="inlineStr">
        <is>
          <t>Default Value</t>
        </is>
      </c>
      <c r="AN48" t="inlineStr">
        <is>
          <t>PO BOX 2074
Wakatipu Heights
OTA</t>
        </is>
      </c>
      <c r="AR48">
        <v>1</v>
      </c>
      <c r="AS48" t="inlineStr">
        <is>
          <t>Default Value</t>
        </is>
      </c>
      <c r="AU48" t="inlineStr">
        <is>
          <t>PO BOX 2074</t>
        </is>
      </c>
      <c r="AV48" t="inlineStr">
        <is>
          <t>Wakatipu Heights</t>
        </is>
      </c>
      <c r="BC48">
        <v>1</v>
      </c>
      <c r="BD48" t="inlineStr">
        <is>
          <t>Default Value</t>
        </is>
      </c>
      <c r="BE48" t="inlineStr">
        <is>
          <t>OTA</t>
        </is>
      </c>
      <c r="BU48">
        <v>1</v>
      </c>
      <c r="BV48" t="inlineStr">
        <is>
          <t>Default Value</t>
        </is>
      </c>
      <c r="BY48" t="inlineStr" s="6">
        <f>HYPERLINK("https://metagenicsd365.crm6.dynamics.com/main.aspx?etn=systemuser&amp;pagetype=entityrecord&amp;id=c4de84af-624f-e911-a979-000d3ae135ff","c4de84af-624f-e911-a979-000d3ae135ff")</f>
        <v>c4de84af-624f-e911-a979-000d3ae135ff</v>
      </c>
      <c r="BZ48" t="inlineStr">
        <is>
          <t>Megan Victory</t>
        </is>
      </c>
      <c r="CC48" s="3">
        <v>43776.219826388886</v>
      </c>
      <c r="CH48" t="b">
        <v>0</v>
      </c>
      <c r="CI48" t="inlineStr">
        <is>
          <t>No</t>
        </is>
      </c>
      <c r="CJ48">
        <v>1</v>
      </c>
      <c r="CK48" t="inlineStr">
        <is>
          <t>Default Value</t>
        </is>
      </c>
      <c r="CN48" t="inlineStr" s="6">
        <f>HYPERLINK("https://metagenicsd365.crm6.dynamics.com/main.aspx?etn=pricelevel&amp;pagetype=entityrecord&amp;id=dd1fe895-6aa7-e911-a886-000d3ae106b8","dd1fe895-6aa7-e911-a886-000d3ae106b8")</f>
        <v>dd1fe895-6aa7-e911-a886-000d3ae106b8</v>
      </c>
      <c r="CO48" t="inlineStr">
        <is>
          <t>All Products New Zealand</t>
        </is>
      </c>
      <c r="CQ48" t="b">
        <v>0</v>
      </c>
      <c r="CR48" t="inlineStr">
        <is>
          <t>Allow</t>
        </is>
      </c>
      <c r="CS48" t="b">
        <v>0</v>
      </c>
      <c r="CT48" t="inlineStr">
        <is>
          <t>No</t>
        </is>
      </c>
      <c r="CU48" t="b">
        <v>0</v>
      </c>
      <c r="CV48" t="inlineStr">
        <is>
          <t>Allow</t>
        </is>
      </c>
      <c r="CW48" t="b">
        <v>0</v>
      </c>
      <c r="CX48" t="inlineStr">
        <is>
          <t>Allow</t>
        </is>
      </c>
      <c r="CY48" t="b">
        <v>0</v>
      </c>
      <c r="CZ48" t="inlineStr">
        <is>
          <t>Allow</t>
        </is>
      </c>
      <c r="DA48" t="b">
        <v>0</v>
      </c>
      <c r="DB48" t="inlineStr">
        <is>
          <t>Allow</t>
        </is>
      </c>
      <c r="DC48" t="b">
        <v>0</v>
      </c>
      <c r="DD48" t="inlineStr">
        <is>
          <t>Send</t>
        </is>
      </c>
      <c r="DE48" t="inlineStr">
        <is>
          <t>mccord.sonja@gmail.com</t>
        </is>
      </c>
      <c r="DF48" t="inlineStr">
        <is>
          <t>mccord.sonja@gmail.com</t>
        </is>
      </c>
      <c r="DO48">
        <v>1.1000000000</v>
      </c>
      <c r="DQ48" t="b">
        <v>1</v>
      </c>
      <c r="DR48" t="inlineStr">
        <is>
          <t>Allow</t>
        </is>
      </c>
      <c r="EA48" t="b">
        <v>0</v>
      </c>
      <c r="EB48" t="inlineStr">
        <is>
          <t>No</t>
        </is>
      </c>
      <c r="EE48" t="b">
        <v>0</v>
      </c>
      <c r="EF48" t="inlineStr">
        <is>
          <t>No</t>
        </is>
      </c>
      <c r="EJ48" t="inlineStr">
        <is>
          <t>951850000,951850001</t>
        </is>
      </c>
      <c r="EK48" t="inlineStr">
        <is>
          <t>Retail; Practitioner</t>
        </is>
      </c>
      <c r="EO48" t="b">
        <v>0</v>
      </c>
      <c r="EP48" t="inlineStr">
        <is>
          <t>No</t>
        </is>
      </c>
      <c r="EU48" t="inlineStr" s="6">
        <f>HYPERLINK("https://metagenicsd365.crm6.dynamics.com/main.aspx?etn=meta_country&amp;pagetype=entityrecord&amp;id=b5015a9c-41a7-e911-a86f-000d3ae10f1f","b5015a9c-41a7-e911-a86f-000d3ae10f1f")</f>
        <v>b5015a9c-41a7-e911-a86f-000d3ae10f1f</v>
      </c>
      <c r="EV48" t="inlineStr">
        <is>
          <t>New Zealand</t>
        </is>
      </c>
      <c r="EW48">
        <v>951850003</v>
      </c>
      <c r="EX48" t="inlineStr">
        <is>
          <t>PRA01</t>
        </is>
      </c>
      <c r="EY48" t="inlineStr" s="6">
        <f>HYPERLINK("https://metagenicsd365.crm6.dynamics.com/main.aspx?etn=meta_postcode&amp;pagetype=entityrecord&amp;id=c8fd8fdc-b2a7-e911-a873-000d3ae10139","c8fd8fdc-b2a7-e911-a873-000d3ae10139")</f>
        <v>c8fd8fdc-b2a7-e911-a873-000d3ae10139</v>
      </c>
      <c r="EZ48" t="inlineStr">
        <is>
          <t>9300</t>
        </is>
      </c>
      <c r="FA48" t="inlineStr" s="6">
        <f>HYPERLINK("https://metagenicsd365.crm6.dynamics.com/main.aspx?etn=meta_suburb&amp;pagetype=entityrecord&amp;id=47a97a0a-b3a7-e911-a875-000d3ae104e7","47a97a0a-b3a7-e911-a875-000d3ae104e7")</f>
        <v>47a97a0a-b3a7-e911-a875-000d3ae104e7</v>
      </c>
      <c r="FB48" t="inlineStr">
        <is>
          <t>QUEENSTOWN</t>
        </is>
      </c>
      <c r="FC48" t="inlineStr" s="6">
        <f>HYPERLINK("https://metagenicsd365.crm6.dynamics.com/main.aspx?etn=businessunit&amp;pagetype=entityrecord&amp;id=185d6825-ff84-e811-a95f-000d3ae058f0","185d6825-ff84-e811-a95f-000d3ae058f0")</f>
        <v>185d6825-ff84-e811-a95f-000d3ae058f0</v>
      </c>
      <c r="FD48" t="inlineStr">
        <is>
          <t>New Zealand</t>
        </is>
      </c>
      <c r="FE48" t="inlineStr">
        <is>
          <t>0000000NZ8898</t>
        </is>
      </c>
      <c r="FM48" t="inlineStr" s="6">
        <f>HYPERLINK("https://metagenicsd365.crm6.dynamics.com/main.aspx?etn=meta_country&amp;pagetype=entityrecord&amp;id=b5015a9c-41a7-e911-a86f-000d3ae10f1f","b5015a9c-41a7-e911-a86f-000d3ae10f1f")</f>
        <v>b5015a9c-41a7-e911-a86f-000d3ae10f1f</v>
      </c>
      <c r="FN48" t="inlineStr">
        <is>
          <t>New Zealand</t>
        </is>
      </c>
      <c r="FO48" t="b">
        <v>0</v>
      </c>
      <c r="FP48" t="inlineStr">
        <is>
          <t>No</t>
        </is>
      </c>
      <c r="FQ48" t="inlineStr">
        <is>
          <t>PRACS</t>
        </is>
      </c>
      <c r="FW48" t="b">
        <v>0</v>
      </c>
      <c r="FX48" t="inlineStr">
        <is>
          <t>No</t>
        </is>
      </c>
      <c r="GA48" t="inlineStr">
        <is>
          <t>ABL2856191</t>
        </is>
      </c>
      <c r="GD48">
        <v>951850000</v>
      </c>
      <c r="GE48" t="inlineStr">
        <is>
          <t>Pending</t>
        </is>
      </c>
      <c r="GF48">
        <v>1476.3500</v>
      </c>
      <c r="GG48">
        <v>1342.1364</v>
      </c>
      <c r="GH48" s="3">
        <v>46122.659502314818</v>
      </c>
      <c r="GI48">
        <v>1</v>
      </c>
      <c r="GJ48" t="b">
        <v>1</v>
      </c>
      <c r="GK48" t="inlineStr">
        <is>
          <t>Yes</t>
        </is>
      </c>
      <c r="GL48" t="b">
        <v>1</v>
      </c>
      <c r="GM48" t="inlineStr">
        <is>
          <t>Yes</t>
        </is>
      </c>
      <c r="GO48" s="3">
        <v>46122.659502314818</v>
      </c>
      <c r="GR48" s="3">
        <v>46122.659502314818</v>
      </c>
      <c r="GU48" s="3">
        <v>46122.659502314818</v>
      </c>
      <c r="GY48" t="inlineStr">
        <is>
          <t>NZ8898</t>
        </is>
      </c>
      <c r="HB48" t="inlineStr">
        <is>
          <t>SONJA McCORD</t>
        </is>
      </c>
      <c r="HI48">
        <v>0.0000</v>
      </c>
      <c r="HJ48">
        <v>0.0000</v>
      </c>
      <c r="HK48" s="3">
        <v>46122.659502314818</v>
      </c>
      <c r="HL48">
        <v>1</v>
      </c>
      <c r="HM48">
        <v>0.0000</v>
      </c>
      <c r="HN48">
        <v>0.0000</v>
      </c>
      <c r="HO48" s="3">
        <v>46122.659502314818</v>
      </c>
      <c r="HP48">
        <v>1</v>
      </c>
      <c r="HX48" t="inlineStr" s="6">
        <f>HYPERLINK("https://metagenicsd365.crm6.dynamics.com/main.aspx?etn=meta_paymentterm&amp;pagetype=entityrecord&amp;id=f958d37a-43a7-e911-a86f-000d3ae10f1f","f958d37a-43a7-e911-a86f-000d3ae10f1f")</f>
        <v>f958d37a-43a7-e911-a86f-000d3ae10f1f</v>
      </c>
      <c r="HY48" t="inlineStr">
        <is>
          <t>CASH ACCOUNT</t>
        </is>
      </c>
      <c r="IC48" t="inlineStr">
        <is>
          <t>OTA</t>
        </is>
      </c>
      <c r="ID48" t="inlineStr">
        <is>
          <t>PO BOX 2074</t>
        </is>
      </c>
      <c r="IE48" t="inlineStr" s="6">
        <f>HYPERLINK("https://metagenicsd365.crm6.dynamics.com/main.aspx?etn=meta_country&amp;pagetype=entityrecord&amp;id=b5015a9c-41a7-e911-a86f-000d3ae10f1f","b5015a9c-41a7-e911-a86f-000d3ae10f1f")</f>
        <v>b5015a9c-41a7-e911-a86f-000d3ae10f1f</v>
      </c>
      <c r="IF48" t="inlineStr">
        <is>
          <t>New Zealand</t>
        </is>
      </c>
      <c r="IG48" t="inlineStr" s="6">
        <f>HYPERLINK("https://metagenicsd365.crm6.dynamics.com/main.aspx?etn=meta_postcode&amp;pagetype=entityrecord&amp;id=c8fd8fdc-b2a7-e911-a873-000d3ae10139","c8fd8fdc-b2a7-e911-a873-000d3ae10139")</f>
        <v>c8fd8fdc-b2a7-e911-a873-000d3ae10139</v>
      </c>
      <c r="IH48" t="inlineStr">
        <is>
          <t>9300</t>
        </is>
      </c>
      <c r="II48" t="inlineStr" s="6">
        <f>HYPERLINK("https://metagenicsd365.crm6.dynamics.com/main.aspx?etn=meta_suburb&amp;pagetype=entityrecord&amp;id=47a97a0a-b3a7-e911-a875-000d3ae104e7","47a97a0a-b3a7-e911-a875-000d3ae104e7")</f>
        <v>47a97a0a-b3a7-e911-a875-000d3ae104e7</v>
      </c>
      <c r="IJ48" t="inlineStr">
        <is>
          <t>QUEENSTOWN</t>
        </is>
      </c>
      <c r="IK48" t="inlineStr" s="6">
        <f>HYPERLINK("https://metagenicsd365.crm6.dynamics.com/main.aspx?etn=meta_postcode&amp;pagetype=entityrecord&amp;id=8c6dccfb-b2a7-e911-a873-000d3ae10139","8c6dccfb-b2a7-e911-a873-000d3ae10139")</f>
        <v>8c6dccfb-b2a7-e911-a873-000d3ae10139</v>
      </c>
      <c r="IL48" t="inlineStr">
        <is>
          <t>9349</t>
        </is>
      </c>
      <c r="IM48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48" t="inlineStr">
        <is>
          <t># HWORLD</t>
        </is>
      </c>
      <c r="IO48" t="inlineStr" s="6">
        <f>HYPERLINK("https://metagenicsd365.crm6.dynamics.com/main.aspx?etn=meta_segment&amp;pagetype=entityrecord&amp;id=42e3a56e-8030-eb11-a813-000d3ae15585","42e3a56e-8030-eb11-a813-000d3ae15585")</f>
        <v>42e3a56e-8030-eb11-a813-000d3ae15585</v>
      </c>
      <c r="IP48" t="inlineStr">
        <is>
          <t>8 - Non called upon</t>
        </is>
      </c>
      <c r="IQ48" t="inlineStr" s="6">
        <f>HYPERLINK("https://metagenicsd365.crm6.dynamics.com/main.aspx?etn=territory&amp;pagetype=entityrecord&amp;id=c74322e5-8030-eb11-a813-000d3ae15585","c74322e5-8030-eb11-a813-000d3ae15585")</f>
        <v>c74322e5-8030-eb11-a813-000d3ae15585</v>
      </c>
      <c r="IR48" t="inlineStr">
        <is>
          <t>NPH0</t>
        </is>
      </c>
      <c r="IZ48">
        <v>951850000</v>
      </c>
      <c r="JA48" t="inlineStr">
        <is>
          <t>Billing</t>
        </is>
      </c>
      <c r="JE48" t="b">
        <v>0</v>
      </c>
      <c r="JF48" t="inlineStr">
        <is>
          <t>No</t>
        </is>
      </c>
      <c r="JI48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JJ48" t="inlineStr">
        <is>
          <t># HWORLD</t>
        </is>
      </c>
      <c r="JK48" t="inlineStr" s="6">
        <f>HYPERLINK("https://metagenicsd365.crm6.dynamics.com/main.aspx?etn=meta_segment&amp;pagetype=entityrecord&amp;id=42e3a56e-8030-eb11-a813-000d3ae15585","42e3a56e-8030-eb11-a813-000d3ae15585")</f>
        <v>42e3a56e-8030-eb11-a813-000d3ae15585</v>
      </c>
      <c r="JL48" t="inlineStr">
        <is>
          <t>8 - Non called upon</t>
        </is>
      </c>
      <c r="JM48" t="inlineStr" s="6">
        <f>HYPERLINK("https://metagenicsd365.crm6.dynamics.com/main.aspx?etn=territory&amp;pagetype=entityrecord&amp;id=c94322e5-8030-eb11-a813-000d3ae15585","c94322e5-8030-eb11-a813-000d3ae15585")</f>
        <v>c94322e5-8030-eb11-a813-000d3ae15585</v>
      </c>
      <c r="JN48" t="inlineStr">
        <is>
          <t>NRH0</t>
        </is>
      </c>
      <c r="JO48" t="inlineStr">
        <is>
          <t>http://hwndw02.healthworld.com.au/reports/report/HealthWorldAnalytics/REPORTS/CRMCustomerCardMaster?rc:Toolbar=false&amp;CustomerCodeLabel=NZ8898_9349</t>
        </is>
      </c>
      <c r="JT48">
        <v>803920000</v>
      </c>
      <c r="JU48" t="inlineStr">
        <is>
          <t>CP</t>
        </is>
      </c>
      <c r="JV48" t="inlineStr">
        <is>
          <t>WAKATIPU HEIGHTS</t>
        </is>
      </c>
      <c r="JY48" t="inlineStr" s="6">
        <f>HYPERLINK("https://metagenicsd365.crm6.dynamics.com/main.aspx?etn=meta_suburb&amp;pagetype=entityrecord&amp;id=47a97a0a-b3a7-e911-a875-000d3ae104e7","47a97a0a-b3a7-e911-a875-000d3ae104e7")</f>
        <v>47a97a0a-b3a7-e911-a875-000d3ae104e7</v>
      </c>
      <c r="JZ48" t="inlineStr">
        <is>
          <t>QUEENSTOWN</t>
        </is>
      </c>
      <c r="KB48">
        <v>0.0000</v>
      </c>
      <c r="KC48">
        <v>0.0000</v>
      </c>
      <c r="KD48" s="3">
        <v>46122.659502314818</v>
      </c>
      <c r="KE48">
        <v>1</v>
      </c>
      <c r="KF48">
        <v>0.0000</v>
      </c>
      <c r="KG48">
        <v>0.0000</v>
      </c>
      <c r="KH48" s="3">
        <v>46122.659502314818</v>
      </c>
      <c r="KI48">
        <v>1</v>
      </c>
      <c r="KJ48">
        <v>1697.8400</v>
      </c>
      <c r="KK48">
        <v>1543.4909</v>
      </c>
      <c r="KL48" s="3">
        <v>46122.659502314818</v>
      </c>
      <c r="KM48">
        <v>1</v>
      </c>
      <c r="KP48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48" t="inlineStr">
        <is>
          <t>Sriganesh Subramanian</t>
        </is>
      </c>
      <c r="KT48" s="3">
        <v>46035.95517361111</v>
      </c>
      <c r="LH48" t="inlineStr">
        <is>
          <t>SONJA McCORD</t>
        </is>
      </c>
      <c r="LO48">
        <v>0</v>
      </c>
      <c r="LP48" s="3">
        <v>46122.659502314818</v>
      </c>
      <c r="LQ48">
        <v>1</v>
      </c>
      <c r="LR48">
        <v>0.0000</v>
      </c>
      <c r="LS48">
        <v>0.0000</v>
      </c>
      <c r="LT48" s="3">
        <v>46122.659502314818</v>
      </c>
      <c r="LU48">
        <v>1</v>
      </c>
      <c r="LY48" t="inlineStr" s="6">
        <f>HYPERLINK("https://metagenicsd365.crm6.dynamics.com/main.aspx?etn=team&amp;pagetype=entityrecord&amp;id=195d6825-ff84-e811-a95f-000d3ae058f0","195d6825-ff84-e811-a95f-000d3ae058f0")</f>
        <v>195d6825-ff84-e811-a95f-000d3ae058f0</v>
      </c>
      <c r="LZ48" t="inlineStr">
        <is>
          <t>New Zealand</t>
        </is>
      </c>
      <c r="MA48" t="inlineStr">
        <is>
          <t>team</t>
        </is>
      </c>
      <c r="MD48" t="inlineStr" s="6">
        <f>HYPERLINK("https://metagenicsd365.crm6.dynamics.com/main.aspx?etn=businessunit&amp;pagetype=entityrecord&amp;id=185d6825-ff84-e811-a95f-000d3ae058f0","185d6825-ff84-e811-a95f-000d3ae058f0")</f>
        <v>185d6825-ff84-e811-a95f-000d3ae058f0</v>
      </c>
      <c r="ME48" t="inlineStr">
        <is>
          <t>New Zealand</t>
        </is>
      </c>
      <c r="MF48" t="inlineStr" s="6">
        <f>HYPERLINK("https://metagenicsd365.crm6.dynamics.com/main.aspx?etn=team&amp;pagetype=entityrecord&amp;id=195d6825-ff84-e811-a95f-000d3ae058f0","195d6825-ff84-e811-a95f-000d3ae058f0")</f>
        <v>195d6825-ff84-e811-a95f-000d3ae058f0</v>
      </c>
      <c r="ML48" t="b">
        <v>0</v>
      </c>
      <c r="MM48" t="inlineStr">
        <is>
          <t>No</t>
        </is>
      </c>
      <c r="MT48">
        <v>1</v>
      </c>
      <c r="MU48" t="inlineStr">
        <is>
          <t>Any</t>
        </is>
      </c>
      <c r="NB48" t="inlineStr" s="6">
        <f>HYPERLINK("https://metagenicsd365.crm6.dynamics.com/main.aspx?etn=contact&amp;pagetype=entityrecord&amp;id=f0a15659-1b01-ea11-a811-000d3a793530","f0a15659-1b01-ea11-a811-000d3a793530")</f>
        <v>f0a15659-1b01-ea11-a811-000d3a793530</v>
      </c>
      <c r="NC48" t="inlineStr">
        <is>
          <t>SONJA McCORD  - NUTRITIONIST</t>
        </is>
      </c>
      <c r="NJ48">
        <v>1</v>
      </c>
      <c r="NK48" t="inlineStr">
        <is>
          <t>Airborne</t>
        </is>
      </c>
      <c r="NR48">
        <v>0</v>
      </c>
      <c r="NS48" t="inlineStr">
        <is>
          <t>Active</t>
        </is>
      </c>
      <c r="NT48">
        <v>1</v>
      </c>
      <c r="NU48" t="inlineStr">
        <is>
          <t>Active</t>
        </is>
      </c>
      <c r="NX48" t="inlineStr">
        <is>
          <t>027 666 4002</t>
        </is>
      </c>
      <c r="NY48" t="inlineStr">
        <is>
          <t>027 666 4002</t>
        </is>
      </c>
      <c r="NZ48" t="inlineStr">
        <is>
          <t>027 666 4002</t>
        </is>
      </c>
      <c r="OA48">
        <v>1</v>
      </c>
      <c r="OB48" t="inlineStr">
        <is>
          <t>Default Value</t>
        </is>
      </c>
      <c r="OH48" t="inlineStr" s="6">
        <f>HYPERLINK("https://metagenicsd365.crm6.dynamics.com/main.aspx?etn=transactioncurrency&amp;pagetype=entityrecord&amp;id=75fa7107-58cb-e811-a965-000d3ae0575b","75fa7107-58cb-e811-a965-000d3ae0575b")</f>
        <v>75fa7107-58cb-e811-a965-000d3ae0575b</v>
      </c>
      <c r="OI48" t="inlineStr">
        <is>
          <t>New Zealand Dollar</t>
        </is>
      </c>
      <c r="OL48" t="inlineStr">
        <is>
          <t>0x000000003BEC5EB4</t>
        </is>
      </c>
    </row>
    <row r="49">
      <c r="C49">
        <v>1</v>
      </c>
      <c r="D49" t="inlineStr">
        <is>
          <t>Default Value</t>
        </is>
      </c>
      <c r="E49" t="inlineStr" s="6">
        <f>HYPERLINK("https://metagenicsd365.crm6.dynamics.com/main.aspx?etn=account&amp;pagetype=entityrecord&amp;id=4af16e37-1e01-ea11-a811-000d3a793530","4af16e37-1e01-ea11-a811-000d3a793530")</f>
        <v>4af16e37-1e01-ea11-a811-000d3a793530</v>
      </c>
      <c r="F49" t="inlineStr">
        <is>
          <t>NZ8898</t>
        </is>
      </c>
      <c r="G49">
        <v>1</v>
      </c>
      <c r="H49" t="inlineStr">
        <is>
          <t>Default Value</t>
        </is>
      </c>
      <c r="I49" t="inlineStr" s="6">
        <f>HYPERLINK("https://metagenicsd365.crm6.dynamics.com/main.aspx?etn=account&amp;pagetype=entityrecord&amp;id=f23e4667-8b24-429e-b46e-8e7630d966ba","f23e4667-8b24-429e-b46e-8e7630d966ba")</f>
        <v>f23e4667-8b24-429e-b46e-8e7630d966ba</v>
      </c>
      <c r="M49" t="inlineStr">
        <is>
          <t>30 MCKELLAR DRIVE JACKS POINT
JACKS POINT
OTA</t>
        </is>
      </c>
      <c r="T49" t="inlineStr">
        <is>
          <t>30 MCKELLAR DRIVE JACKS POINT</t>
        </is>
      </c>
      <c r="U49" t="inlineStr">
        <is>
          <t>JACKS POINT</t>
        </is>
      </c>
      <c r="AD49" t="inlineStr">
        <is>
          <t>OTA</t>
        </is>
      </c>
      <c r="AE49" t="inlineStr">
        <is>
          <t>07 373 4485</t>
        </is>
      </c>
      <c r="AJ49" t="inlineStr" s="6">
        <f>HYPERLINK("https://metagenicsd365.crm6.dynamics.com/main.aspx?etn=account&amp;pagetype=entityrecord&amp;id=b577730e-c64a-4e39-844c-8c0ef91b57d6","b577730e-c64a-4e39-844c-8c0ef91b57d6")</f>
        <v>b577730e-c64a-4e39-844c-8c0ef91b57d6</v>
      </c>
      <c r="AK49">
        <v>1</v>
      </c>
      <c r="AL49" t="inlineStr">
        <is>
          <t>Default Value</t>
        </is>
      </c>
      <c r="AN49" t="inlineStr">
        <is>
          <t>PO BOX 2074
Wakatipu Heights
OTA</t>
        </is>
      </c>
      <c r="AR49">
        <v>1</v>
      </c>
      <c r="AS49" t="inlineStr">
        <is>
          <t>Default Value</t>
        </is>
      </c>
      <c r="AU49" t="inlineStr">
        <is>
          <t>PO BOX 2074</t>
        </is>
      </c>
      <c r="AV49" t="inlineStr">
        <is>
          <t>Wakatipu Heights</t>
        </is>
      </c>
      <c r="BC49">
        <v>1</v>
      </c>
      <c r="BD49" t="inlineStr">
        <is>
          <t>Default Value</t>
        </is>
      </c>
      <c r="BE49" t="inlineStr">
        <is>
          <t>OTA</t>
        </is>
      </c>
      <c r="BU49">
        <v>1</v>
      </c>
      <c r="BV49" t="inlineStr">
        <is>
          <t>Default Value</t>
        </is>
      </c>
      <c r="BY49" t="inlineStr" s="6">
        <f>HYPERLINK("https://metagenicsd365.crm6.dynamics.com/main.aspx?etn=systemuser&amp;pagetype=entityrecord&amp;id=c4de84af-624f-e911-a979-000d3ae135ff","c4de84af-624f-e911-a979-000d3ae135ff")</f>
        <v>c4de84af-624f-e911-a979-000d3ae135ff</v>
      </c>
      <c r="BZ49" t="inlineStr">
        <is>
          <t>Megan Victory</t>
        </is>
      </c>
      <c r="CC49" s="3">
        <v>43776.2221875</v>
      </c>
      <c r="CF49">
        <v>0.0000</v>
      </c>
      <c r="CG49">
        <v>0.0000</v>
      </c>
      <c r="CH49" t="b">
        <v>0</v>
      </c>
      <c r="CI49" t="inlineStr">
        <is>
          <t>No</t>
        </is>
      </c>
      <c r="CJ49">
        <v>1</v>
      </c>
      <c r="CK49" t="inlineStr">
        <is>
          <t>Default Value</t>
        </is>
      </c>
      <c r="CN49" t="inlineStr" s="6">
        <f>HYPERLINK("https://metagenicsd365.crm6.dynamics.com/main.aspx?etn=pricelevel&amp;pagetype=entityrecord&amp;id=dd1fe895-6aa7-e911-a886-000d3ae106b8","dd1fe895-6aa7-e911-a886-000d3ae106b8")</f>
        <v>dd1fe895-6aa7-e911-a886-000d3ae106b8</v>
      </c>
      <c r="CO49" t="inlineStr">
        <is>
          <t>All Products New Zealand</t>
        </is>
      </c>
      <c r="CQ49" t="b">
        <v>0</v>
      </c>
      <c r="CR49" t="inlineStr">
        <is>
          <t>Allow</t>
        </is>
      </c>
      <c r="CS49" t="b">
        <v>0</v>
      </c>
      <c r="CT49" t="inlineStr">
        <is>
          <t>No</t>
        </is>
      </c>
      <c r="CU49" t="b">
        <v>0</v>
      </c>
      <c r="CV49" t="inlineStr">
        <is>
          <t>Allow</t>
        </is>
      </c>
      <c r="CW49" t="b">
        <v>0</v>
      </c>
      <c r="CX49" t="inlineStr">
        <is>
          <t>Allow</t>
        </is>
      </c>
      <c r="CY49" t="b">
        <v>0</v>
      </c>
      <c r="CZ49" t="inlineStr">
        <is>
          <t>Allow</t>
        </is>
      </c>
      <c r="DA49" t="b">
        <v>0</v>
      </c>
      <c r="DB49" t="inlineStr">
        <is>
          <t>Allow</t>
        </is>
      </c>
      <c r="DC49" t="b">
        <v>0</v>
      </c>
      <c r="DD49" t="inlineStr">
        <is>
          <t>Send</t>
        </is>
      </c>
      <c r="DE49" t="inlineStr">
        <is>
          <t>mccord.sonja@gmail.com</t>
        </is>
      </c>
      <c r="DF49" t="inlineStr">
        <is>
          <t>mccord.sonja@gmail.com</t>
        </is>
      </c>
      <c r="DO49">
        <v>1.1000000000</v>
      </c>
      <c r="DQ49" t="b">
        <v>1</v>
      </c>
      <c r="DR49" t="inlineStr">
        <is>
          <t>Allow</t>
        </is>
      </c>
      <c r="EA49" t="b">
        <v>0</v>
      </c>
      <c r="EB49" t="inlineStr">
        <is>
          <t>No</t>
        </is>
      </c>
      <c r="EE49" t="b">
        <v>0</v>
      </c>
      <c r="EF49" t="inlineStr">
        <is>
          <t>No</t>
        </is>
      </c>
      <c r="EJ49" t="inlineStr">
        <is>
          <t>951850000,951850001</t>
        </is>
      </c>
      <c r="EK49" t="inlineStr">
        <is>
          <t>Retail; Practitioner</t>
        </is>
      </c>
      <c r="EL49" s="3">
        <v>44341.412060185183</v>
      </c>
      <c r="EM49" s="3">
        <v>93138.99998842593</v>
      </c>
      <c r="EO49" t="b">
        <v>0</v>
      </c>
      <c r="EP49" t="inlineStr">
        <is>
          <t>No</t>
        </is>
      </c>
      <c r="ES49" t="inlineStr" s="6">
        <f>HYPERLINK("https://metagenicsd365.crm6.dynamics.com/main.aspx?etn=account&amp;pagetype=entityrecord&amp;id=6d20d9be-1d01-ea11-a811-000d3a793530","6d20d9be-1d01-ea11-a811-000d3a793530")</f>
        <v>6d20d9be-1d01-ea11-a811-000d3a793530</v>
      </c>
      <c r="ET49" t="inlineStr">
        <is>
          <t>SONJA McCORD</t>
        </is>
      </c>
      <c r="EU49" t="inlineStr" s="6">
        <f>HYPERLINK("https://metagenicsd365.crm6.dynamics.com/main.aspx?etn=meta_country&amp;pagetype=entityrecord&amp;id=b5015a9c-41a7-e911-a86f-000d3ae10f1f","b5015a9c-41a7-e911-a86f-000d3ae10f1f")</f>
        <v>b5015a9c-41a7-e911-a86f-000d3ae10f1f</v>
      </c>
      <c r="EV49" t="inlineStr">
        <is>
          <t>New Zealand</t>
        </is>
      </c>
      <c r="EW49">
        <v>951850003</v>
      </c>
      <c r="EX49" t="inlineStr">
        <is>
          <t>PRA01</t>
        </is>
      </c>
      <c r="EY49" t="inlineStr" s="6">
        <f>HYPERLINK("https://metagenicsd365.crm6.dynamics.com/main.aspx?etn=meta_postcode&amp;pagetype=entityrecord&amp;id=c8fd8fdc-b2a7-e911-a873-000d3ae10139","c8fd8fdc-b2a7-e911-a873-000d3ae10139")</f>
        <v>c8fd8fdc-b2a7-e911-a873-000d3ae10139</v>
      </c>
      <c r="EZ49" t="inlineStr">
        <is>
          <t>9300</t>
        </is>
      </c>
      <c r="FA49" t="inlineStr" s="6">
        <f>HYPERLINK("https://metagenicsd365.crm6.dynamics.com/main.aspx?etn=meta_suburb&amp;pagetype=entityrecord&amp;id=47a97a0a-b3a7-e911-a875-000d3ae104e7","47a97a0a-b3a7-e911-a875-000d3ae104e7")</f>
        <v>47a97a0a-b3a7-e911-a875-000d3ae104e7</v>
      </c>
      <c r="FB49" t="inlineStr">
        <is>
          <t>QUEENSTOWN</t>
        </is>
      </c>
      <c r="FC49" t="inlineStr" s="6">
        <f>HYPERLINK("https://metagenicsd365.crm6.dynamics.com/main.aspx?etn=businessunit&amp;pagetype=entityrecord&amp;id=185d6825-ff84-e811-a95f-000d3ae058f0","185d6825-ff84-e811-a95f-000d3ae058f0")</f>
        <v>185d6825-ff84-e811-a95f-000d3ae058f0</v>
      </c>
      <c r="FD49" t="inlineStr">
        <is>
          <t>New Zealand</t>
        </is>
      </c>
      <c r="FE49" t="inlineStr">
        <is>
          <t>0000000NZ8898</t>
        </is>
      </c>
      <c r="FM49" t="inlineStr" s="6">
        <f>HYPERLINK("https://metagenicsd365.crm6.dynamics.com/main.aspx?etn=meta_country&amp;pagetype=entityrecord&amp;id=b5015a9c-41a7-e911-a86f-000d3ae10f1f","b5015a9c-41a7-e911-a86f-000d3ae10f1f")</f>
        <v>b5015a9c-41a7-e911-a86f-000d3ae10f1f</v>
      </c>
      <c r="FN49" t="inlineStr">
        <is>
          <t>New Zealand</t>
        </is>
      </c>
      <c r="FO49" t="b">
        <v>0</v>
      </c>
      <c r="FP49" t="inlineStr">
        <is>
          <t>No</t>
        </is>
      </c>
      <c r="FQ49" t="inlineStr">
        <is>
          <t>PRACS</t>
        </is>
      </c>
      <c r="FW49" t="b">
        <v>0</v>
      </c>
      <c r="FX49" t="inlineStr">
        <is>
          <t>No</t>
        </is>
      </c>
      <c r="GA49" t="inlineStr">
        <is>
          <t>ABL3013599</t>
        </is>
      </c>
      <c r="GD49">
        <v>951850000</v>
      </c>
      <c r="GE49" t="inlineStr">
        <is>
          <t>Pending</t>
        </is>
      </c>
      <c r="GF49">
        <v>0.0000</v>
      </c>
      <c r="GG49">
        <v>0.0000</v>
      </c>
      <c r="GH49" s="3">
        <v>46122.659502314818</v>
      </c>
      <c r="GI49">
        <v>1</v>
      </c>
      <c r="GJ49" t="b">
        <v>1</v>
      </c>
      <c r="GK49" t="inlineStr">
        <is>
          <t>Yes</t>
        </is>
      </c>
      <c r="GL49" t="b">
        <v>1</v>
      </c>
      <c r="GM49" t="inlineStr">
        <is>
          <t>Yes</t>
        </is>
      </c>
      <c r="GO49" s="3">
        <v>46122.659502314818</v>
      </c>
      <c r="GR49" s="3">
        <v>46122.659502314818</v>
      </c>
      <c r="GU49" s="3">
        <v>46122.659502314818</v>
      </c>
      <c r="GY49" t="inlineStr">
        <is>
          <t>NZ8898</t>
        </is>
      </c>
      <c r="GZ49" t="inlineStr">
        <is>
          <t>M001</t>
        </is>
      </c>
      <c r="HB49" t="inlineStr">
        <is>
          <t>SONJA McCORD (M00100000000000)</t>
        </is>
      </c>
      <c r="HI49">
        <v>0.0000</v>
      </c>
      <c r="HJ49">
        <v>0.0000</v>
      </c>
      <c r="HK49" s="3">
        <v>46122.659502314818</v>
      </c>
      <c r="HL49">
        <v>1</v>
      </c>
      <c r="HM49">
        <v>0.0000</v>
      </c>
      <c r="HN49">
        <v>0.0000</v>
      </c>
      <c r="HO49" s="3">
        <v>46122.659502314818</v>
      </c>
      <c r="HP49">
        <v>1</v>
      </c>
      <c r="HX49" t="inlineStr" s="6">
        <f>HYPERLINK("https://metagenicsd365.crm6.dynamics.com/main.aspx?etn=meta_paymentterm&amp;pagetype=entityrecord&amp;id=31971c9d-38ba-eb11-8236-00224817f624","31971c9d-38ba-eb11-8236-00224817f624")</f>
        <v>31971c9d-38ba-eb11-8236-00224817f624</v>
      </c>
      <c r="HY49" t="inlineStr">
        <is>
          <t>Cash</t>
        </is>
      </c>
      <c r="ID49" t="inlineStr">
        <is>
          <t>30 MCKELLAR DRIVE JACKS POINT</t>
        </is>
      </c>
      <c r="IE49" t="inlineStr" s="6">
        <f>HYPERLINK("https://metagenicsd365.crm6.dynamics.com/main.aspx?etn=meta_country&amp;pagetype=entityrecord&amp;id=b5015a9c-41a7-e911-a86f-000d3ae10f1f","b5015a9c-41a7-e911-a86f-000d3ae10f1f")</f>
        <v>b5015a9c-41a7-e911-a86f-000d3ae10f1f</v>
      </c>
      <c r="IF49" t="inlineStr">
        <is>
          <t>New Zealand</t>
        </is>
      </c>
      <c r="IG49" t="inlineStr" s="6">
        <f>HYPERLINK("https://metagenicsd365.crm6.dynamics.com/main.aspx?etn=meta_postcode&amp;pagetype=entityrecord&amp;id=1bd86ede-b2a7-e911-a875-000d3ae104e7","1bd86ede-b2a7-e911-a875-000d3ae104e7")</f>
        <v>1bd86ede-b2a7-e911-a875-000d3ae104e7</v>
      </c>
      <c r="IH49" t="inlineStr">
        <is>
          <t>9371</t>
        </is>
      </c>
      <c r="II49" t="inlineStr" s="6">
        <f>HYPERLINK("https://metagenicsd365.crm6.dynamics.com/main.aspx?etn=meta_suburb&amp;pagetype=entityrecord&amp;id=47a97a0a-b3a7-e911-a875-000d3ae104e7","47a97a0a-b3a7-e911-a875-000d3ae104e7")</f>
        <v>47a97a0a-b3a7-e911-a875-000d3ae104e7</v>
      </c>
      <c r="IJ49" t="inlineStr">
        <is>
          <t>QUEENSTOWN</t>
        </is>
      </c>
      <c r="IK49" t="inlineStr" s="6">
        <f>HYPERLINK("https://metagenicsd365.crm6.dynamics.com/main.aspx?etn=meta_postcode&amp;pagetype=entityrecord&amp;id=1bd86ede-b2a7-e911-a875-000d3ae104e7","1bd86ede-b2a7-e911-a875-000d3ae104e7")</f>
        <v>1bd86ede-b2a7-e911-a875-000d3ae104e7</v>
      </c>
      <c r="IL49" t="inlineStr">
        <is>
          <t>9371</t>
        </is>
      </c>
      <c r="IM49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49" t="inlineStr">
        <is>
          <t># HWORLD</t>
        </is>
      </c>
      <c r="IO49" t="inlineStr" s="6">
        <f>HYPERLINK("https://metagenicsd365.crm6.dynamics.com/main.aspx?etn=meta_segment&amp;pagetype=entityrecord&amp;id=42e3a56e-8030-eb11-a813-000d3ae15585","42e3a56e-8030-eb11-a813-000d3ae15585")</f>
        <v>42e3a56e-8030-eb11-a813-000d3ae15585</v>
      </c>
      <c r="IP49" t="inlineStr">
        <is>
          <t>8 - Non called upon</t>
        </is>
      </c>
      <c r="IQ49" t="inlineStr" s="6">
        <f>HYPERLINK("https://metagenicsd365.crm6.dynamics.com/main.aspx?etn=territory&amp;pagetype=entityrecord&amp;id=c74322e5-8030-eb11-a813-000d3ae15585","c74322e5-8030-eb11-a813-000d3ae15585")</f>
        <v>c74322e5-8030-eb11-a813-000d3ae15585</v>
      </c>
      <c r="IR49" t="inlineStr">
        <is>
          <t>NPH0</t>
        </is>
      </c>
      <c r="IZ49">
        <v>951850001</v>
      </c>
      <c r="JA49" t="inlineStr">
        <is>
          <t>Location</t>
        </is>
      </c>
      <c r="JE49" t="b">
        <v>0</v>
      </c>
      <c r="JF49" t="inlineStr">
        <is>
          <t>No</t>
        </is>
      </c>
      <c r="JI49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JJ49" t="inlineStr">
        <is>
          <t># HWORLD</t>
        </is>
      </c>
      <c r="JK49" t="inlineStr" s="6">
        <f>HYPERLINK("https://metagenicsd365.crm6.dynamics.com/main.aspx?etn=meta_segment&amp;pagetype=entityrecord&amp;id=42e3a56e-8030-eb11-a813-000d3ae15585","42e3a56e-8030-eb11-a813-000d3ae15585")</f>
        <v>42e3a56e-8030-eb11-a813-000d3ae15585</v>
      </c>
      <c r="JL49" t="inlineStr">
        <is>
          <t>8 - Non called upon</t>
        </is>
      </c>
      <c r="JM49" t="inlineStr" s="6">
        <f>HYPERLINK("https://metagenicsd365.crm6.dynamics.com/main.aspx?etn=territory&amp;pagetype=entityrecord&amp;id=c94322e5-8030-eb11-a813-000d3ae15585","c94322e5-8030-eb11-a813-000d3ae15585")</f>
        <v>c94322e5-8030-eb11-a813-000d3ae15585</v>
      </c>
      <c r="JN49" t="inlineStr">
        <is>
          <t>NRH0</t>
        </is>
      </c>
      <c r="JT49">
        <v>803920000</v>
      </c>
      <c r="JU49" t="inlineStr">
        <is>
          <t>CP</t>
        </is>
      </c>
      <c r="JY49" t="inlineStr" s="6">
        <f>HYPERLINK("https://metagenicsd365.crm6.dynamics.com/main.aspx?etn=meta_suburb&amp;pagetype=entityrecord&amp;id=47a97a0a-b3a7-e911-a875-000d3ae104e7","47a97a0a-b3a7-e911-a875-000d3ae104e7")</f>
        <v>47a97a0a-b3a7-e911-a875-000d3ae104e7</v>
      </c>
      <c r="JZ49" t="inlineStr">
        <is>
          <t>QUEENSTOWN</t>
        </is>
      </c>
      <c r="KB49">
        <v>0.0000</v>
      </c>
      <c r="KC49">
        <v>0.0000</v>
      </c>
      <c r="KD49" s="3">
        <v>46122.659502314818</v>
      </c>
      <c r="KE49">
        <v>1</v>
      </c>
      <c r="KF49">
        <v>0.0000</v>
      </c>
      <c r="KG49">
        <v>0.0000</v>
      </c>
      <c r="KH49" s="3">
        <v>46122.659502314818</v>
      </c>
      <c r="KI49">
        <v>1</v>
      </c>
      <c r="KJ49">
        <v>0.0000</v>
      </c>
      <c r="KK49">
        <v>0.0000</v>
      </c>
      <c r="KL49" s="3">
        <v>46122.659502314818</v>
      </c>
      <c r="KM49">
        <v>1</v>
      </c>
      <c r="KP49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49" t="inlineStr">
        <is>
          <t>Sriganesh Subramanian</t>
        </is>
      </c>
      <c r="KT49" s="3">
        <v>46035.95517361111</v>
      </c>
      <c r="LH49" t="inlineStr">
        <is>
          <t>SONJA McCORD (M00100000000000)</t>
        </is>
      </c>
      <c r="LO49">
        <v>0</v>
      </c>
      <c r="LP49" s="3">
        <v>46122.659502314818</v>
      </c>
      <c r="LQ49">
        <v>1</v>
      </c>
      <c r="LR49">
        <v>0.0000</v>
      </c>
      <c r="LS49">
        <v>0.0000</v>
      </c>
      <c r="LT49" s="3">
        <v>46122.659502314818</v>
      </c>
      <c r="LU49">
        <v>1</v>
      </c>
      <c r="LY49" t="inlineStr" s="6">
        <f>HYPERLINK("https://metagenicsd365.crm6.dynamics.com/main.aspx?etn=team&amp;pagetype=entityrecord&amp;id=195d6825-ff84-e811-a95f-000d3ae058f0","195d6825-ff84-e811-a95f-000d3ae058f0")</f>
        <v>195d6825-ff84-e811-a95f-000d3ae058f0</v>
      </c>
      <c r="LZ49" t="inlineStr">
        <is>
          <t>New Zealand</t>
        </is>
      </c>
      <c r="MA49" t="inlineStr">
        <is>
          <t>team</t>
        </is>
      </c>
      <c r="MD49" t="inlineStr" s="6">
        <f>HYPERLINK("https://metagenicsd365.crm6.dynamics.com/main.aspx?etn=businessunit&amp;pagetype=entityrecord&amp;id=185d6825-ff84-e811-a95f-000d3ae058f0","185d6825-ff84-e811-a95f-000d3ae058f0")</f>
        <v>185d6825-ff84-e811-a95f-000d3ae058f0</v>
      </c>
      <c r="ME49" t="inlineStr">
        <is>
          <t>New Zealand</t>
        </is>
      </c>
      <c r="MF49" t="inlineStr" s="6">
        <f>HYPERLINK("https://metagenicsd365.crm6.dynamics.com/main.aspx?etn=team&amp;pagetype=entityrecord&amp;id=195d6825-ff84-e811-a95f-000d3ae058f0","195d6825-ff84-e811-a95f-000d3ae058f0")</f>
        <v>195d6825-ff84-e811-a95f-000d3ae058f0</v>
      </c>
      <c r="MJ49" t="inlineStr" s="6">
        <f>HYPERLINK("https://metagenicsd365.crm6.dynamics.com/main.aspx?etn=account&amp;pagetype=entityrecord&amp;id=6d20d9be-1d01-ea11-a811-000d3a793530","6d20d9be-1d01-ea11-a811-000d3a793530")</f>
        <v>6d20d9be-1d01-ea11-a811-000d3a793530</v>
      </c>
      <c r="MK49" t="inlineStr">
        <is>
          <t>SONJA McCORD</t>
        </is>
      </c>
      <c r="ML49" t="b">
        <v>0</v>
      </c>
      <c r="MM49" t="inlineStr">
        <is>
          <t>No</t>
        </is>
      </c>
      <c r="MT49">
        <v>1</v>
      </c>
      <c r="MU49" t="inlineStr">
        <is>
          <t>Any</t>
        </is>
      </c>
      <c r="NJ49">
        <v>1</v>
      </c>
      <c r="NK49" t="inlineStr">
        <is>
          <t>Airborne</t>
        </is>
      </c>
      <c r="NR49">
        <v>0</v>
      </c>
      <c r="NS49" t="inlineStr">
        <is>
          <t>Active</t>
        </is>
      </c>
      <c r="NT49">
        <v>1</v>
      </c>
      <c r="NU49" t="inlineStr">
        <is>
          <t>Active</t>
        </is>
      </c>
      <c r="NX49" t="inlineStr">
        <is>
          <t>07 373 4485</t>
        </is>
      </c>
      <c r="NY49" t="inlineStr">
        <is>
          <t>027 666 4002</t>
        </is>
      </c>
      <c r="NZ49" t="inlineStr">
        <is>
          <t>027 666 4002</t>
        </is>
      </c>
      <c r="OA49">
        <v>1</v>
      </c>
      <c r="OB49" t="inlineStr">
        <is>
          <t>Default Value</t>
        </is>
      </c>
      <c r="OG49">
        <v>0</v>
      </c>
      <c r="OH49" t="inlineStr" s="6">
        <f>HYPERLINK("https://metagenicsd365.crm6.dynamics.com/main.aspx?etn=transactioncurrency&amp;pagetype=entityrecord&amp;id=75fa7107-58cb-e811-a965-000d3ae0575b","75fa7107-58cb-e811-a965-000d3ae0575b")</f>
        <v>75fa7107-58cb-e811-a965-000d3ae0575b</v>
      </c>
      <c r="OI49" t="inlineStr">
        <is>
          <t>New Zealand Dollar</t>
        </is>
      </c>
      <c r="OL49" t="inlineStr">
        <is>
          <t>0x000000003BEC5ECA</t>
        </is>
      </c>
    </row>
    <row r="50">
      <c r="C50">
        <v>1</v>
      </c>
      <c r="D50" t="inlineStr">
        <is>
          <t>Default Value</t>
        </is>
      </c>
      <c r="E50" t="inlineStr" s="6">
        <f>HYPERLINK("https://metagenicsd365.crm6.dynamics.com/main.aspx?etn=account&amp;pagetype=entityrecord&amp;id=601826bb-1f01-ea11-a811-000d3a793530","601826bb-1f01-ea11-a811-000d3a793530")</f>
        <v>601826bb-1f01-ea11-a811-000d3a793530</v>
      </c>
      <c r="F50" t="inlineStr">
        <is>
          <t>000000082889</t>
        </is>
      </c>
      <c r="G50">
        <v>1</v>
      </c>
      <c r="H50" t="inlineStr">
        <is>
          <t>Default Value</t>
        </is>
      </c>
      <c r="I50" t="inlineStr" s="6">
        <f>HYPERLINK("https://metagenicsd365.crm6.dynamics.com/main.aspx?etn=account&amp;pagetype=entityrecord&amp;id=79a95b9b-9cd8-4a92-b4c4-a4174a07f58b","79a95b9b-9cd8-4a92-b4c4-a4174a07f58b")</f>
        <v>79a95b9b-9cd8-4a92-b4c4-a4174a07f58b</v>
      </c>
      <c r="M50" t="inlineStr">
        <is>
          <t>1/603 New South Head Road
NSW</t>
        </is>
      </c>
      <c r="T50" t="inlineStr">
        <is>
          <t>1/603 New South Head Road</t>
        </is>
      </c>
      <c r="AD50" t="inlineStr">
        <is>
          <t>NSW</t>
        </is>
      </c>
      <c r="AE50" t="inlineStr">
        <is>
          <t>0409 835 832</t>
        </is>
      </c>
      <c r="AJ50" t="inlineStr" s="6">
        <f>HYPERLINK("https://metagenicsd365.crm6.dynamics.com/main.aspx?etn=account&amp;pagetype=entityrecord&amp;id=e8ab5d6e-6b71-4fa9-a22a-6d2a9bd1aafe","e8ab5d6e-6b71-4fa9-a22a-6d2a9bd1aafe")</f>
        <v>e8ab5d6e-6b71-4fa9-a22a-6d2a9bd1aafe</v>
      </c>
      <c r="AK50">
        <v>1</v>
      </c>
      <c r="AL50" t="inlineStr">
        <is>
          <t>Default Value</t>
        </is>
      </c>
      <c r="AN50" t="inlineStr">
        <is>
          <t>1/603 New South Head Road
NSW</t>
        </is>
      </c>
      <c r="AR50">
        <v>1</v>
      </c>
      <c r="AS50" t="inlineStr">
        <is>
          <t>Default Value</t>
        </is>
      </c>
      <c r="AU50" t="inlineStr">
        <is>
          <t>1/603 New South Head Road</t>
        </is>
      </c>
      <c r="BC50">
        <v>1</v>
      </c>
      <c r="BD50" t="inlineStr">
        <is>
          <t>Default Value</t>
        </is>
      </c>
      <c r="BE50" t="inlineStr">
        <is>
          <t>NSW</t>
        </is>
      </c>
      <c r="BU50">
        <v>1</v>
      </c>
      <c r="BV50" t="inlineStr">
        <is>
          <t>Default Value</t>
        </is>
      </c>
      <c r="BY50" t="inlineStr" s="6">
        <f>HYPERLINK("https://metagenicsd365.crm6.dynamics.com/main.aspx?etn=systemuser&amp;pagetype=entityrecord&amp;id=c4de84af-624f-e911-a979-000d3ae135ff","c4de84af-624f-e911-a979-000d3ae135ff")</f>
        <v>c4de84af-624f-e911-a979-000d3ae135ff</v>
      </c>
      <c r="BZ50" t="inlineStr">
        <is>
          <t>Megan Victory</t>
        </is>
      </c>
      <c r="CC50" s="3">
        <v>43776.229699074072</v>
      </c>
      <c r="CH50" t="b">
        <v>0</v>
      </c>
      <c r="CI50" t="inlineStr">
        <is>
          <t>No</t>
        </is>
      </c>
      <c r="CJ50">
        <v>1</v>
      </c>
      <c r="CK50" t="inlineStr">
        <is>
          <t>Default Value</t>
        </is>
      </c>
      <c r="CN50" t="inlineStr" s="6">
        <f>HYPERLINK("https://metagenicsd365.crm6.dynamics.com/main.aspx?etn=pricelevel&amp;pagetype=entityrecord&amp;id=475bef16-44a7-e911-a86f-000d3ae10f1f","475bef16-44a7-e911-a86f-000d3ae10f1f")</f>
        <v>475bef16-44a7-e911-a86f-000d3ae10f1f</v>
      </c>
      <c r="CO50" t="inlineStr">
        <is>
          <t>All Products Australia</t>
        </is>
      </c>
      <c r="CQ50" t="b">
        <v>0</v>
      </c>
      <c r="CR50" t="inlineStr">
        <is>
          <t>Allow</t>
        </is>
      </c>
      <c r="CS50" t="b">
        <v>0</v>
      </c>
      <c r="CT50" t="inlineStr">
        <is>
          <t>No</t>
        </is>
      </c>
      <c r="CU50" t="b">
        <v>0</v>
      </c>
      <c r="CV50" t="inlineStr">
        <is>
          <t>Allow</t>
        </is>
      </c>
      <c r="CW50" t="b">
        <v>0</v>
      </c>
      <c r="CX50" t="inlineStr">
        <is>
          <t>Allow</t>
        </is>
      </c>
      <c r="CY50" t="b">
        <v>0</v>
      </c>
      <c r="CZ50" t="inlineStr">
        <is>
          <t>Allow</t>
        </is>
      </c>
      <c r="DA50" t="b">
        <v>0</v>
      </c>
      <c r="DB50" t="inlineStr">
        <is>
          <t>Allow</t>
        </is>
      </c>
      <c r="DC50" t="b">
        <v>0</v>
      </c>
      <c r="DD50" t="inlineStr">
        <is>
          <t>Send</t>
        </is>
      </c>
      <c r="DE50" t="inlineStr">
        <is>
          <t>mia.airth@hotmail.com</t>
        </is>
      </c>
      <c r="DF50" t="inlineStr">
        <is>
          <t>mia.airth@hotmail.com</t>
        </is>
      </c>
      <c r="DO50">
        <v>1.0000000000</v>
      </c>
      <c r="DQ50" t="b">
        <v>1</v>
      </c>
      <c r="DR50" t="inlineStr">
        <is>
          <t>Allow</t>
        </is>
      </c>
      <c r="EA50" t="b">
        <v>0</v>
      </c>
      <c r="EB50" t="inlineStr">
        <is>
          <t>No</t>
        </is>
      </c>
      <c r="EE50" t="b">
        <v>0</v>
      </c>
      <c r="EF50" t="inlineStr">
        <is>
          <t>No</t>
        </is>
      </c>
      <c r="EG50" t="inlineStr">
        <is>
          <t>No</t>
        </is>
      </c>
      <c r="EJ50" t="inlineStr">
        <is>
          <t>951850000,951850001</t>
        </is>
      </c>
      <c r="EK50" t="inlineStr">
        <is>
          <t>Retail; Practitioner</t>
        </is>
      </c>
      <c r="EL50" s="3">
        <v>44340.106851851851</v>
      </c>
      <c r="EM50" s="3">
        <v>93138.99998842593</v>
      </c>
      <c r="EN50" t="inlineStr">
        <is>
          <t>PRAC</t>
        </is>
      </c>
      <c r="EO50" t="b">
        <v>0</v>
      </c>
      <c r="EP50" t="inlineStr">
        <is>
          <t>No</t>
        </is>
      </c>
      <c r="EQ50" t="inlineStr">
        <is>
          <t>Yes</t>
        </is>
      </c>
      <c r="EU50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50" t="inlineStr">
        <is>
          <t>Australia</t>
        </is>
      </c>
      <c r="EW50">
        <v>951850003</v>
      </c>
      <c r="EX50" t="inlineStr">
        <is>
          <t>PRA01</t>
        </is>
      </c>
      <c r="EY50" t="inlineStr" s="6">
        <f>HYPERLINK("https://metagenicsd365.crm6.dynamics.com/main.aspx?etn=meta_postcode&amp;pagetype=entityrecord&amp;id=303fca16-b2a7-e911-a886-000d3ae106b8","303fca16-b2a7-e911-a886-000d3ae106b8")</f>
        <v>303fca16-b2a7-e911-a886-000d3ae106b8</v>
      </c>
      <c r="EZ50" t="inlineStr">
        <is>
          <t>2029</t>
        </is>
      </c>
      <c r="FA50" t="inlineStr" s="6">
        <f>HYPERLINK("https://metagenicsd365.crm6.dynamics.com/main.aspx?etn=meta_suburb&amp;pagetype=entityrecord&amp;id=a5119b9c-b4a7-e911-a875-000d3ae104e7","a5119b9c-b4a7-e911-a875-000d3ae104e7")</f>
        <v>a5119b9c-b4a7-e911-a875-000d3ae104e7</v>
      </c>
      <c r="FB50" t="inlineStr">
        <is>
          <t>ROSE BAY</t>
        </is>
      </c>
      <c r="FC50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50" t="inlineStr">
        <is>
          <t>Australia</t>
        </is>
      </c>
      <c r="FE50" t="inlineStr">
        <is>
          <t>0000000000000082889</t>
        </is>
      </c>
      <c r="FM50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50" t="inlineStr">
        <is>
          <t>Australia</t>
        </is>
      </c>
      <c r="FO50" t="b">
        <v>0</v>
      </c>
      <c r="FP50" t="inlineStr">
        <is>
          <t>No</t>
        </is>
      </c>
      <c r="FQ50" t="inlineStr">
        <is>
          <t>PRACS</t>
        </is>
      </c>
      <c r="FW50" t="b">
        <v>0</v>
      </c>
      <c r="FX50" t="inlineStr">
        <is>
          <t>No</t>
        </is>
      </c>
      <c r="GA50" t="inlineStr">
        <is>
          <t>ABL2907125</t>
        </is>
      </c>
      <c r="GD50">
        <v>951850000</v>
      </c>
      <c r="GE50" t="inlineStr">
        <is>
          <t>Pending</t>
        </is>
      </c>
      <c r="GF50">
        <v>1137.3300</v>
      </c>
      <c r="GG50">
        <v>1137.3300</v>
      </c>
      <c r="GH50" s="3">
        <v>46122.659502314818</v>
      </c>
      <c r="GI50">
        <v>1</v>
      </c>
      <c r="GJ50" t="b">
        <v>1</v>
      </c>
      <c r="GK50" t="inlineStr">
        <is>
          <t>Yes</t>
        </is>
      </c>
      <c r="GL50" t="b">
        <v>1</v>
      </c>
      <c r="GM50" t="inlineStr">
        <is>
          <t>Yes</t>
        </is>
      </c>
      <c r="GO50" s="3">
        <v>46122.659502314818</v>
      </c>
      <c r="GQ50" s="3">
        <v>45821.5359837963</v>
      </c>
      <c r="GR50" s="3">
        <v>46122.659502314818</v>
      </c>
      <c r="GS50">
        <v>1</v>
      </c>
      <c r="GU50" s="3">
        <v>46122.659502314818</v>
      </c>
      <c r="GY50" t="inlineStr">
        <is>
          <t>000000082889</t>
        </is>
      </c>
      <c r="HB50" t="inlineStr">
        <is>
          <t>MIA AIRTH SOARES</t>
        </is>
      </c>
      <c r="HI50">
        <v>0.0000</v>
      </c>
      <c r="HJ50">
        <v>0.0000</v>
      </c>
      <c r="HK50" s="3">
        <v>46122.659502314818</v>
      </c>
      <c r="HL50">
        <v>1</v>
      </c>
      <c r="HM50">
        <v>453.3200</v>
      </c>
      <c r="HN50">
        <v>453.3200</v>
      </c>
      <c r="HO50" s="3">
        <v>46122.659502314818</v>
      </c>
      <c r="HP50">
        <v>1</v>
      </c>
      <c r="HX50" t="inlineStr" s="6">
        <f>HYPERLINK("https://metagenicsd365.crm6.dynamics.com/main.aspx?etn=meta_paymentterm&amp;pagetype=entityrecord&amp;id=31971c9d-38ba-eb11-8236-00224817f624","31971c9d-38ba-eb11-8236-00224817f624")</f>
        <v>31971c9d-38ba-eb11-8236-00224817f624</v>
      </c>
      <c r="HY50" t="inlineStr">
        <is>
          <t>Cash</t>
        </is>
      </c>
      <c r="IC50" t="inlineStr">
        <is>
          <t>NSW</t>
        </is>
      </c>
      <c r="ID50" t="inlineStr">
        <is>
          <t>1/603 New South Head Road</t>
        </is>
      </c>
      <c r="IE50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50" t="inlineStr">
        <is>
          <t>Australia</t>
        </is>
      </c>
      <c r="IG50" t="inlineStr" s="6">
        <f>HYPERLINK("https://metagenicsd365.crm6.dynamics.com/main.aspx?etn=meta_postcode&amp;pagetype=entityrecord&amp;id=303fca16-b2a7-e911-a886-000d3ae106b8","303fca16-b2a7-e911-a886-000d3ae106b8")</f>
        <v>303fca16-b2a7-e911-a886-000d3ae106b8</v>
      </c>
      <c r="IH50" t="inlineStr">
        <is>
          <t>2029</t>
        </is>
      </c>
      <c r="II50" t="inlineStr" s="6">
        <f>HYPERLINK("https://metagenicsd365.crm6.dynamics.com/main.aspx?etn=meta_suburb&amp;pagetype=entityrecord&amp;id=a5119b9c-b4a7-e911-a875-000d3ae104e7","a5119b9c-b4a7-e911-a875-000d3ae104e7")</f>
        <v>a5119b9c-b4a7-e911-a875-000d3ae104e7</v>
      </c>
      <c r="IJ50" t="inlineStr">
        <is>
          <t>ROSE BAY</t>
        </is>
      </c>
      <c r="IK50" t="inlineStr" s="6">
        <f>HYPERLINK("https://metagenicsd365.crm6.dynamics.com/main.aspx?etn=meta_postcode&amp;pagetype=entityrecord&amp;id=303fca16-b2a7-e911-a886-000d3ae106b8","303fca16-b2a7-e911-a886-000d3ae106b8")</f>
        <v>303fca16-b2a7-e911-a886-000d3ae106b8</v>
      </c>
      <c r="IL50" t="inlineStr">
        <is>
          <t>2029</t>
        </is>
      </c>
      <c r="IM50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IN50" t="inlineStr">
        <is>
          <t># HWORLD</t>
        </is>
      </c>
      <c r="IO50" t="inlineStr" s="6">
        <f>HYPERLINK("https://metagenicsd365.crm6.dynamics.com/main.aspx?etn=meta_segment&amp;pagetype=entityrecord&amp;id=42e3a56e-8030-eb11-a813-000d3ae15585","42e3a56e-8030-eb11-a813-000d3ae15585")</f>
        <v>42e3a56e-8030-eb11-a813-000d3ae15585</v>
      </c>
      <c r="IP50" t="inlineStr">
        <is>
          <t>8 - Non called upon</t>
        </is>
      </c>
      <c r="IQ50" t="inlineStr" s="6">
        <f>HYPERLINK("https://metagenicsd365.crm6.dynamics.com/main.aspx?etn=territory&amp;pagetype=entityrecord&amp;id=b52bcde0-8030-eb11-a813-000d3ae1554c","b52bcde0-8030-eb11-a813-000d3ae1554c")</f>
        <v>b52bcde0-8030-eb11-a813-000d3ae1554c</v>
      </c>
      <c r="IR50" t="inlineStr">
        <is>
          <t>APH0</t>
        </is>
      </c>
      <c r="IW50" t="inlineStr" s="6">
        <f>HYPERLINK("https://metagenicsd365.crm6.dynamics.com/main.aspx?etn=meta_modality&amp;pagetype=entityrecord&amp;id=1d623cde-42a7-e911-a86f-000d3ae10f1f","1d623cde-42a7-e911-a86f-000d3ae10f1f")</f>
        <v>1d623cde-42a7-e911-a86f-000d3ae10f1f</v>
      </c>
      <c r="IX50" t="inlineStr">
        <is>
          <t>Other</t>
        </is>
      </c>
      <c r="IZ50">
        <v>951850000</v>
      </c>
      <c r="JA50" t="inlineStr">
        <is>
          <t>Billing</t>
        </is>
      </c>
      <c r="JE50" t="b">
        <v>0</v>
      </c>
      <c r="JF50" t="inlineStr">
        <is>
          <t>No</t>
        </is>
      </c>
      <c r="JI50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JJ50" t="inlineStr">
        <is>
          <t># HWORLD</t>
        </is>
      </c>
      <c r="JK50" t="inlineStr" s="6">
        <f>HYPERLINK("https://metagenicsd365.crm6.dynamics.com/main.aspx?etn=meta_segment&amp;pagetype=entityrecord&amp;id=42e3a56e-8030-eb11-a813-000d3ae15585","42e3a56e-8030-eb11-a813-000d3ae15585")</f>
        <v>42e3a56e-8030-eb11-a813-000d3ae15585</v>
      </c>
      <c r="JL50" t="inlineStr">
        <is>
          <t>8 - Non called upon</t>
        </is>
      </c>
      <c r="JM50" t="inlineStr" s="6">
        <f>HYPERLINK("https://metagenicsd365.crm6.dynamics.com/main.aspx?etn=territory&amp;pagetype=entityrecord&amp;id=c64322e5-8030-eb11-a813-000d3ae15585","c64322e5-8030-eb11-a813-000d3ae15585")</f>
        <v>c64322e5-8030-eb11-a813-000d3ae15585</v>
      </c>
      <c r="JN50" t="inlineStr">
        <is>
          <t>ARH0</t>
        </is>
      </c>
      <c r="JO50" t="inlineStr">
        <is>
          <t>http://hwndw02.healthworld.com.au/reports/report/HealthWorldAnalytics/REPORTS/CRMCustomerCardMaster?rc:Toolbar=false&amp;CustomerCodeLabel=82889_2029</t>
        </is>
      </c>
      <c r="JT50">
        <v>951850001</v>
      </c>
      <c r="JU50" t="inlineStr">
        <is>
          <t>EXP - Standard Shipping</t>
        </is>
      </c>
      <c r="JY50" t="inlineStr" s="6">
        <f>HYPERLINK("https://metagenicsd365.crm6.dynamics.com/main.aspx?etn=meta_suburb&amp;pagetype=entityrecord&amp;id=a5119b9c-b4a7-e911-a875-000d3ae104e7","a5119b9c-b4a7-e911-a875-000d3ae104e7")</f>
        <v>a5119b9c-b4a7-e911-a875-000d3ae104e7</v>
      </c>
      <c r="JZ50" t="inlineStr">
        <is>
          <t>ROSE BAY</t>
        </is>
      </c>
      <c r="KB50">
        <v>0.0000</v>
      </c>
      <c r="KC50">
        <v>0.0000</v>
      </c>
      <c r="KD50" s="3">
        <v>46122.659502314818</v>
      </c>
      <c r="KE50">
        <v>1</v>
      </c>
      <c r="KF50">
        <v>453.3200</v>
      </c>
      <c r="KG50">
        <v>453.3200</v>
      </c>
      <c r="KH50" s="3">
        <v>46122.659502314818</v>
      </c>
      <c r="KI50">
        <v>1</v>
      </c>
      <c r="KJ50">
        <v>1251.0700</v>
      </c>
      <c r="KK50">
        <v>1251.0700</v>
      </c>
      <c r="KL50" s="3">
        <v>46122.659502314818</v>
      </c>
      <c r="KM50">
        <v>1</v>
      </c>
      <c r="KP50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50" t="inlineStr">
        <is>
          <t>Sriganesh Subramanian</t>
        </is>
      </c>
      <c r="KT50" s="3">
        <v>46035.95517361111</v>
      </c>
      <c r="LH50" t="inlineStr">
        <is>
          <t>MIA AIRTH SOARES</t>
        </is>
      </c>
      <c r="LO50">
        <v>0</v>
      </c>
      <c r="LP50" s="3">
        <v>46122.659502314818</v>
      </c>
      <c r="LQ50">
        <v>1</v>
      </c>
      <c r="LR50">
        <v>0.0000</v>
      </c>
      <c r="LS50">
        <v>0.0000</v>
      </c>
      <c r="LT50" s="3">
        <v>46122.659502314818</v>
      </c>
      <c r="LU50">
        <v>1</v>
      </c>
      <c r="LY50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50" t="inlineStr">
        <is>
          <t>Australia</t>
        </is>
      </c>
      <c r="MA50" t="inlineStr">
        <is>
          <t>team</t>
        </is>
      </c>
      <c r="MD50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50" t="inlineStr">
        <is>
          <t>Australia</t>
        </is>
      </c>
      <c r="MF50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L50" t="b">
        <v>0</v>
      </c>
      <c r="MM50" t="inlineStr">
        <is>
          <t>No</t>
        </is>
      </c>
      <c r="MT50">
        <v>1</v>
      </c>
      <c r="MU50" t="inlineStr">
        <is>
          <t>Any</t>
        </is>
      </c>
      <c r="NB50" t="inlineStr" s="6">
        <f>HYPERLINK("https://metagenicsd365.crm6.dynamics.com/main.aspx?etn=contact&amp;pagetype=entityrecord&amp;id=9dc73f8f-1f01-ea11-a811-000d3a793530","9dc73f8f-1f01-ea11-a811-000d3a793530")</f>
        <v>9dc73f8f-1f01-ea11-a811-000d3a793530</v>
      </c>
      <c r="NC50" t="inlineStr">
        <is>
          <t>MIA SOARES - PSYCHOLOGIST</t>
        </is>
      </c>
      <c r="NJ50">
        <v>1</v>
      </c>
      <c r="NK50" t="inlineStr">
        <is>
          <t>Airborne</t>
        </is>
      </c>
      <c r="NR50">
        <v>0</v>
      </c>
      <c r="NS50" t="inlineStr">
        <is>
          <t>Active</t>
        </is>
      </c>
      <c r="NT50">
        <v>1</v>
      </c>
      <c r="NU50" t="inlineStr">
        <is>
          <t>Active</t>
        </is>
      </c>
      <c r="NX50" t="inlineStr">
        <is>
          <t>0409 835 832</t>
        </is>
      </c>
      <c r="NY50" t="inlineStr">
        <is>
          <t>0409 835 832</t>
        </is>
      </c>
      <c r="NZ50" t="inlineStr">
        <is>
          <t>0409 835 832</t>
        </is>
      </c>
      <c r="OA50">
        <v>1</v>
      </c>
      <c r="OB50" t="inlineStr">
        <is>
          <t>Default Value</t>
        </is>
      </c>
      <c r="OG50">
        <v>0</v>
      </c>
      <c r="OH50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50" t="inlineStr">
        <is>
          <t>Australian Dollar</t>
        </is>
      </c>
      <c r="OL50" t="inlineStr">
        <is>
          <t>0x000000003D628C78</t>
        </is>
      </c>
    </row>
    <row r="51">
      <c r="C51">
        <v>1</v>
      </c>
      <c r="D51" t="inlineStr">
        <is>
          <t>Default Value</t>
        </is>
      </c>
      <c r="E51" t="inlineStr" s="6">
        <f>HYPERLINK("https://metagenicsd365.crm6.dynamics.com/main.aspx?etn=account&amp;pagetype=entityrecord&amp;id=954e9ef7-2001-ea11-a811-000d3a793530","954e9ef7-2001-ea11-a811-000d3a793530")</f>
        <v>954e9ef7-2001-ea11-a811-000d3a793530</v>
      </c>
      <c r="F51" t="inlineStr">
        <is>
          <t>000000082890</t>
        </is>
      </c>
      <c r="G51">
        <v>1</v>
      </c>
      <c r="H51" t="inlineStr">
        <is>
          <t>Default Value</t>
        </is>
      </c>
      <c r="I51" t="inlineStr" s="6">
        <f>HYPERLINK("https://metagenicsd365.crm6.dynamics.com/main.aspx?etn=account&amp;pagetype=entityrecord&amp;id=3352d7c7-3187-4a38-b763-f277a1a8e1ce","3352d7c7-3187-4a38-b763-f277a1a8e1ce")</f>
        <v>3352d7c7-3187-4a38-b763-f277a1a8e1ce</v>
      </c>
      <c r="M51" t="inlineStr">
        <is>
          <t>Shop 15 The Village
1932 Logan Road
QLD</t>
        </is>
      </c>
      <c r="T51" t="inlineStr">
        <is>
          <t>Shop 15 The Village</t>
        </is>
      </c>
      <c r="U51" t="inlineStr">
        <is>
          <t>1932 Logan Road</t>
        </is>
      </c>
      <c r="AD51" t="inlineStr">
        <is>
          <t>QLD</t>
        </is>
      </c>
      <c r="AJ51" t="inlineStr" s="6">
        <f>HYPERLINK("https://metagenicsd365.crm6.dynamics.com/main.aspx?etn=account&amp;pagetype=entityrecord&amp;id=b6d07ea5-a4b3-4707-a8bd-a3a889b205f8","b6d07ea5-a4b3-4707-a8bd-a3a889b205f8")</f>
        <v>b6d07ea5-a4b3-4707-a8bd-a3a889b205f8</v>
      </c>
      <c r="AK51">
        <v>1</v>
      </c>
      <c r="AL51" t="inlineStr">
        <is>
          <t>Default Value</t>
        </is>
      </c>
      <c r="AN51" t="inlineStr">
        <is>
          <t>Shop 15 The Village
1932 Logan Road
QLD</t>
        </is>
      </c>
      <c r="AR51">
        <v>1</v>
      </c>
      <c r="AS51" t="inlineStr">
        <is>
          <t>Default Value</t>
        </is>
      </c>
      <c r="AU51" t="inlineStr">
        <is>
          <t>Shop 15 The Village</t>
        </is>
      </c>
      <c r="AV51" t="inlineStr">
        <is>
          <t>1932 Logan Road</t>
        </is>
      </c>
      <c r="BC51">
        <v>1</v>
      </c>
      <c r="BD51" t="inlineStr">
        <is>
          <t>Default Value</t>
        </is>
      </c>
      <c r="BE51" t="inlineStr">
        <is>
          <t>QLD</t>
        </is>
      </c>
      <c r="BU51">
        <v>1</v>
      </c>
      <c r="BV51" t="inlineStr">
        <is>
          <t>Default Value</t>
        </is>
      </c>
      <c r="BY51" t="inlineStr" s="6">
        <f>HYPERLINK("https://metagenicsd365.crm6.dynamics.com/main.aspx?etn=systemuser&amp;pagetype=entityrecord&amp;id=c4de84af-624f-e911-a979-000d3ae135ff","c4de84af-624f-e911-a979-000d3ae135ff")</f>
        <v>c4de84af-624f-e911-a979-000d3ae135ff</v>
      </c>
      <c r="BZ51" t="inlineStr">
        <is>
          <t>Megan Victory</t>
        </is>
      </c>
      <c r="CC51" s="3">
        <v>43776.235821759263</v>
      </c>
      <c r="CH51" t="b">
        <v>0</v>
      </c>
      <c r="CI51" t="inlineStr">
        <is>
          <t>No</t>
        </is>
      </c>
      <c r="CJ51">
        <v>1</v>
      </c>
      <c r="CK51" t="inlineStr">
        <is>
          <t>Default Value</t>
        </is>
      </c>
      <c r="CN51" t="inlineStr" s="6">
        <f>HYPERLINK("https://metagenicsd365.crm6.dynamics.com/main.aspx?etn=pricelevel&amp;pagetype=entityrecord&amp;id=10e3d934-44a7-e911-a86f-000d3ae10f1f","10e3d934-44a7-e911-a86f-000d3ae10f1f")</f>
        <v>10e3d934-44a7-e911-a86f-000d3ae10f1f</v>
      </c>
      <c r="CO51" t="inlineStr">
        <is>
          <t>Retail Products Australia</t>
        </is>
      </c>
      <c r="CP51" t="inlineStr">
        <is>
          <t>ABN 20 619 290 685</t>
        </is>
      </c>
      <c r="CQ51" t="b">
        <v>0</v>
      </c>
      <c r="CR51" t="inlineStr">
        <is>
          <t>Allow</t>
        </is>
      </c>
      <c r="CS51" t="b">
        <v>0</v>
      </c>
      <c r="CT51" t="inlineStr">
        <is>
          <t>No</t>
        </is>
      </c>
      <c r="CU51" t="b">
        <v>0</v>
      </c>
      <c r="CV51" t="inlineStr">
        <is>
          <t>Allow</t>
        </is>
      </c>
      <c r="CW51" t="b">
        <v>0</v>
      </c>
      <c r="CX51" t="inlineStr">
        <is>
          <t>Allow</t>
        </is>
      </c>
      <c r="CY51" t="b">
        <v>0</v>
      </c>
      <c r="CZ51" t="inlineStr">
        <is>
          <t>Allow</t>
        </is>
      </c>
      <c r="DA51" t="b">
        <v>0</v>
      </c>
      <c r="DB51" t="inlineStr">
        <is>
          <t>Allow</t>
        </is>
      </c>
      <c r="DC51" t="b">
        <v>0</v>
      </c>
      <c r="DD51" t="inlineStr">
        <is>
          <t>Send</t>
        </is>
      </c>
      <c r="DE51" t="inlineStr">
        <is>
          <t>joolzzy@hotmail.com</t>
        </is>
      </c>
      <c r="DF51" t="inlineStr">
        <is>
          <t>joolzzy@hotmail.com</t>
        </is>
      </c>
      <c r="DO51">
        <v>1.0000000000</v>
      </c>
      <c r="DQ51" t="b">
        <v>1</v>
      </c>
      <c r="DR51" t="inlineStr">
        <is>
          <t>Allow</t>
        </is>
      </c>
      <c r="EA51" t="b">
        <v>0</v>
      </c>
      <c r="EB51" t="inlineStr">
        <is>
          <t>No</t>
        </is>
      </c>
      <c r="EE51" t="b">
        <v>0</v>
      </c>
      <c r="EF51" t="inlineStr">
        <is>
          <t>No</t>
        </is>
      </c>
      <c r="EG51" t="inlineStr">
        <is>
          <t>No</t>
        </is>
      </c>
      <c r="EJ51" t="inlineStr">
        <is>
          <t>951850000</t>
        </is>
      </c>
      <c r="EK51" t="inlineStr">
        <is>
          <t>Retail</t>
        </is>
      </c>
      <c r="EN51" t="inlineStr">
        <is>
          <t>Retail</t>
        </is>
      </c>
      <c r="EO51" t="b">
        <v>0</v>
      </c>
      <c r="EP51" t="inlineStr">
        <is>
          <t>No</t>
        </is>
      </c>
      <c r="EQ51" t="inlineStr">
        <is>
          <t>Yes</t>
        </is>
      </c>
      <c r="EU51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EV51" t="inlineStr">
        <is>
          <t>Australia</t>
        </is>
      </c>
      <c r="EW51">
        <v>951850014</v>
      </c>
      <c r="EX51" t="inlineStr">
        <is>
          <t>RETON</t>
        </is>
      </c>
      <c r="EY51" t="inlineStr" s="6">
        <f>HYPERLINK("https://metagenicsd365.crm6.dynamics.com/main.aspx?etn=meta_postcode&amp;pagetype=entityrecord&amp;id=aae70c5c-b2a7-e911-a86f-000d3ae10f1f","aae70c5c-b2a7-e911-a86f-000d3ae10f1f")</f>
        <v>aae70c5c-b2a7-e911-a86f-000d3ae10f1f</v>
      </c>
      <c r="EZ51" t="inlineStr">
        <is>
          <t>4122</t>
        </is>
      </c>
      <c r="FA51" t="inlineStr" s="6">
        <f>HYPERLINK("https://metagenicsd365.crm6.dynamics.com/main.aspx?etn=meta_suburb&amp;pagetype=entityrecord&amp;id=1d68f334-b3a7-e911-a873-000d3ae10139","1d68f334-b3a7-e911-a873-000d3ae10139")</f>
        <v>1d68f334-b3a7-e911-a873-000d3ae10139</v>
      </c>
      <c r="FB51" t="inlineStr">
        <is>
          <t>UPPER MOUNT GRAVATT</t>
        </is>
      </c>
      <c r="FC51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FD51" t="inlineStr">
        <is>
          <t>Australia</t>
        </is>
      </c>
      <c r="FE51" t="inlineStr">
        <is>
          <t>0000000000000082890</t>
        </is>
      </c>
      <c r="FM51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FN51" t="inlineStr">
        <is>
          <t>Australia</t>
        </is>
      </c>
      <c r="FO51" t="b">
        <v>0</v>
      </c>
      <c r="FP51" t="inlineStr">
        <is>
          <t>No</t>
        </is>
      </c>
      <c r="FQ51" t="inlineStr">
        <is>
          <t>RETON</t>
        </is>
      </c>
      <c r="FW51" t="b">
        <v>0</v>
      </c>
      <c r="FX51" t="inlineStr">
        <is>
          <t>No</t>
        </is>
      </c>
      <c r="GA51" t="inlineStr">
        <is>
          <t>ABL3083060</t>
        </is>
      </c>
      <c r="GD51">
        <v>951850000</v>
      </c>
      <c r="GE51" t="inlineStr">
        <is>
          <t>Pending</t>
        </is>
      </c>
      <c r="GF51">
        <v>0.0000</v>
      </c>
      <c r="GG51">
        <v>0.0000</v>
      </c>
      <c r="GH51" s="3">
        <v>46122.659502314818</v>
      </c>
      <c r="GI51">
        <v>1</v>
      </c>
      <c r="GL51" t="b">
        <v>1</v>
      </c>
      <c r="GM51" t="inlineStr">
        <is>
          <t>Yes</t>
        </is>
      </c>
      <c r="GO51" s="3">
        <v>46122.659502314818</v>
      </c>
      <c r="GR51" s="3">
        <v>46122.659502314818</v>
      </c>
      <c r="GU51" s="3">
        <v>46122.659502314818</v>
      </c>
      <c r="GY51" t="inlineStr">
        <is>
          <t>000000082890</t>
        </is>
      </c>
      <c r="HB51" t="inlineStr">
        <is>
          <t>AUSSIE HEALTH STORE</t>
        </is>
      </c>
      <c r="HC51" t="inlineStr">
        <is>
          <t>P0R10</t>
        </is>
      </c>
      <c r="HI51">
        <v>0.0000</v>
      </c>
      <c r="HJ51">
        <v>0.0000</v>
      </c>
      <c r="HK51" s="3">
        <v>46122.659502314818</v>
      </c>
      <c r="HL51">
        <v>1</v>
      </c>
      <c r="HM51">
        <v>0.0000</v>
      </c>
      <c r="HN51">
        <v>0.0000</v>
      </c>
      <c r="HO51" s="3">
        <v>46122.659502314818</v>
      </c>
      <c r="HP51">
        <v>1</v>
      </c>
      <c r="HX51" t="inlineStr" s="6">
        <f>HYPERLINK("https://metagenicsd365.crm6.dynamics.com/main.aspx?etn=meta_paymentterm&amp;pagetype=entityrecord&amp;id=f958d37a-43a7-e911-a86f-000d3ae10f1f","f958d37a-43a7-e911-a86f-000d3ae10f1f")</f>
        <v>f958d37a-43a7-e911-a86f-000d3ae10f1f</v>
      </c>
      <c r="HY51" t="inlineStr">
        <is>
          <t>CASH ACCOUNT</t>
        </is>
      </c>
      <c r="IC51" t="inlineStr">
        <is>
          <t>QLD</t>
        </is>
      </c>
      <c r="ID51" t="inlineStr">
        <is>
          <t>Shop 15 The Village</t>
        </is>
      </c>
      <c r="IE51" t="inlineStr" s="6">
        <f>HYPERLINK("https://metagenicsd365.crm6.dynamics.com/main.aspx?etn=meta_country&amp;pagetype=entityrecord&amp;id=087bac89-41a7-e911-a86f-000d3ae10f1f","087bac89-41a7-e911-a86f-000d3ae10f1f")</f>
        <v>087bac89-41a7-e911-a86f-000d3ae10f1f</v>
      </c>
      <c r="IF51" t="inlineStr">
        <is>
          <t>Australia</t>
        </is>
      </c>
      <c r="IG51" t="inlineStr" s="6">
        <f>HYPERLINK("https://metagenicsd365.crm6.dynamics.com/main.aspx?etn=meta_postcode&amp;pagetype=entityrecord&amp;id=aae70c5c-b2a7-e911-a86f-000d3ae10f1f","aae70c5c-b2a7-e911-a86f-000d3ae10f1f")</f>
        <v>aae70c5c-b2a7-e911-a86f-000d3ae10f1f</v>
      </c>
      <c r="IH51" t="inlineStr">
        <is>
          <t>4122</t>
        </is>
      </c>
      <c r="II51" t="inlineStr" s="6">
        <f>HYPERLINK("https://metagenicsd365.crm6.dynamics.com/main.aspx?etn=meta_suburb&amp;pagetype=entityrecord&amp;id=1d68f334-b3a7-e911-a873-000d3ae10139","1d68f334-b3a7-e911-a873-000d3ae10139")</f>
        <v>1d68f334-b3a7-e911-a873-000d3ae10139</v>
      </c>
      <c r="IJ51" t="inlineStr">
        <is>
          <t>UPPER MOUNT GRAVATT</t>
        </is>
      </c>
      <c r="IK51" t="inlineStr" s="6">
        <f>HYPERLINK("https://metagenicsd365.crm6.dynamics.com/main.aspx?etn=meta_postcode&amp;pagetype=entityrecord&amp;id=aae70c5c-b2a7-e911-a86f-000d3ae10f1f","aae70c5c-b2a7-e911-a86f-000d3ae10f1f")</f>
        <v>aae70c5c-b2a7-e911-a86f-000d3ae10f1f</v>
      </c>
      <c r="IL51" t="inlineStr">
        <is>
          <t>4122</t>
        </is>
      </c>
      <c r="IZ51">
        <v>951850000</v>
      </c>
      <c r="JA51" t="inlineStr">
        <is>
          <t>Billing</t>
        </is>
      </c>
      <c r="JE51" t="b">
        <v>0</v>
      </c>
      <c r="JF51" t="inlineStr">
        <is>
          <t>No</t>
        </is>
      </c>
      <c r="JI51" t="inlineStr" s="6">
        <f>HYPERLINK("https://metagenicsd365.crm6.dynamics.com/main.aspx?etn=systemuser&amp;pagetype=entityrecord&amp;id=1ae047aa-d2c7-ea11-a812-000d3a799a21","1ae047aa-d2c7-ea11-a812-000d3a799a21")</f>
        <v>1ae047aa-d2c7-ea11-a812-000d3a799a21</v>
      </c>
      <c r="JJ51" t="inlineStr">
        <is>
          <t># HWORLD</t>
        </is>
      </c>
      <c r="JK51" t="inlineStr" s="6">
        <f>HYPERLINK("https://metagenicsd365.crm6.dynamics.com/main.aspx?etn=meta_segment&amp;pagetype=entityrecord&amp;id=42e3a56e-8030-eb11-a813-000d3ae15585","42e3a56e-8030-eb11-a813-000d3ae15585")</f>
        <v>42e3a56e-8030-eb11-a813-000d3ae15585</v>
      </c>
      <c r="JL51" t="inlineStr">
        <is>
          <t>8 - Non called upon</t>
        </is>
      </c>
      <c r="JM51" t="inlineStr" s="6">
        <f>HYPERLINK("https://metagenicsd365.crm6.dynamics.com/main.aspx?etn=territory&amp;pagetype=entityrecord&amp;id=c64322e5-8030-eb11-a813-000d3ae15585","c64322e5-8030-eb11-a813-000d3ae15585")</f>
        <v>c64322e5-8030-eb11-a813-000d3ae15585</v>
      </c>
      <c r="JN51" t="inlineStr">
        <is>
          <t>ARH0</t>
        </is>
      </c>
      <c r="JO51" t="inlineStr">
        <is>
          <t>http://hwndw02.healthworld.com.au/reports/report/HealthWorldAnalytics/REPORTS/CRMCustomerCardMaster?rc:Toolbar=false&amp;CustomerCodeLabel=82890_4122</t>
        </is>
      </c>
      <c r="JT51">
        <v>951850001</v>
      </c>
      <c r="JU51" t="inlineStr">
        <is>
          <t>EXP - Standard Shipping</t>
        </is>
      </c>
      <c r="JV51" t="inlineStr">
        <is>
          <t>1932 Logan Road</t>
        </is>
      </c>
      <c r="JY51" t="inlineStr" s="6">
        <f>HYPERLINK("https://metagenicsd365.crm6.dynamics.com/main.aspx?etn=meta_suburb&amp;pagetype=entityrecord&amp;id=1d68f334-b3a7-e911-a873-000d3ae10139","1d68f334-b3a7-e911-a873-000d3ae10139")</f>
        <v>1d68f334-b3a7-e911-a873-000d3ae10139</v>
      </c>
      <c r="JZ51" t="inlineStr">
        <is>
          <t>UPPER MOUNT GRAVATT</t>
        </is>
      </c>
      <c r="KB51">
        <v>0.0000</v>
      </c>
      <c r="KC51">
        <v>0.0000</v>
      </c>
      <c r="KD51" s="3">
        <v>46122.659502314818</v>
      </c>
      <c r="KE51">
        <v>1</v>
      </c>
      <c r="KF51">
        <v>0.0000</v>
      </c>
      <c r="KG51">
        <v>0.0000</v>
      </c>
      <c r="KH51" s="3">
        <v>46122.659502314818</v>
      </c>
      <c r="KI51">
        <v>1</v>
      </c>
      <c r="KJ51">
        <v>0.0000</v>
      </c>
      <c r="KL51" s="3">
        <v>46122.659502314818</v>
      </c>
      <c r="KM51">
        <v>1</v>
      </c>
      <c r="KP51" t="inlineStr" s="6">
        <f>HYPERLINK("https://metagenicsd365.crm6.dynamics.com/main.aspx?etn=systemuser&amp;pagetype=entityrecord&amp;id=ba1e15c2-3b23-ed11-9db1-00224818a8cf","ba1e15c2-3b23-ed11-9db1-00224818a8cf")</f>
        <v>ba1e15c2-3b23-ed11-9db1-00224818a8cf</v>
      </c>
      <c r="KQ51" t="inlineStr">
        <is>
          <t>Sriganesh Subramanian</t>
        </is>
      </c>
      <c r="KT51" s="3">
        <v>46035.95</v>
      </c>
      <c r="LH51" t="inlineStr">
        <is>
          <t>AUSSIE HEALTH STORE</t>
        </is>
      </c>
      <c r="LO51">
        <v>0</v>
      </c>
      <c r="LP51" s="3">
        <v>46122.659502314818</v>
      </c>
      <c r="LQ51">
        <v>1</v>
      </c>
      <c r="LR51">
        <v>0.0000</v>
      </c>
      <c r="LS51">
        <v>0.0000</v>
      </c>
      <c r="LT51" s="3">
        <v>46122.659502314818</v>
      </c>
      <c r="LU51">
        <v>1</v>
      </c>
      <c r="LY51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LZ51" t="inlineStr">
        <is>
          <t>Australia</t>
        </is>
      </c>
      <c r="MA51" t="inlineStr">
        <is>
          <t>team</t>
        </is>
      </c>
      <c r="MD51" t="inlineStr" s="6">
        <f>HYPERLINK("https://metagenicsd365.crm6.dynamics.com/main.aspx?etn=businessunit&amp;pagetype=entityrecord&amp;id=2a23471f-ff84-e811-a95f-000d3ae058f0","2a23471f-ff84-e811-a95f-000d3ae058f0")</f>
        <v>2a23471f-ff84-e811-a95f-000d3ae058f0</v>
      </c>
      <c r="ME51" t="inlineStr">
        <is>
          <t>Australia</t>
        </is>
      </c>
      <c r="MF51" t="inlineStr" s="6">
        <f>HYPERLINK("https://metagenicsd365.crm6.dynamics.com/main.aspx?etn=team&amp;pagetype=entityrecord&amp;id=2b23471f-ff84-e811-a95f-000d3ae058f0","2b23471f-ff84-e811-a95f-000d3ae058f0")</f>
        <v>2b23471f-ff84-e811-a95f-000d3ae058f0</v>
      </c>
      <c r="ML51" t="b">
        <v>0</v>
      </c>
      <c r="MM51" t="inlineStr">
        <is>
          <t>No</t>
        </is>
      </c>
      <c r="MT51">
        <v>1</v>
      </c>
      <c r="MU51" t="inlineStr">
        <is>
          <t>Any</t>
        </is>
      </c>
      <c r="NB51" t="inlineStr" s="6">
        <f>HYPERLINK("https://metagenicsd365.crm6.dynamics.com/main.aspx?etn=contact&amp;pagetype=entityrecord&amp;id=6bccb0b7-2001-ea11-a811-000d3a793530","6bccb0b7-2001-ea11-a811-000d3a793530")</f>
        <v>6bccb0b7-2001-ea11-a811-000d3a793530</v>
      </c>
      <c r="NC51" t="inlineStr">
        <is>
          <t>TING WANG JULIANNE COLEMAN</t>
        </is>
      </c>
      <c r="NJ51">
        <v>1</v>
      </c>
      <c r="NK51" t="inlineStr">
        <is>
          <t>Airborne</t>
        </is>
      </c>
      <c r="NR51">
        <v>0</v>
      </c>
      <c r="NS51" t="inlineStr">
        <is>
          <t>Active</t>
        </is>
      </c>
      <c r="NT51">
        <v>1</v>
      </c>
      <c r="NU51" t="inlineStr">
        <is>
          <t>Active</t>
        </is>
      </c>
      <c r="NX51" t="inlineStr">
        <is>
          <t>07 3849 8020</t>
        </is>
      </c>
      <c r="NY51" t="inlineStr">
        <is>
          <t>07 3849 8020</t>
        </is>
      </c>
      <c r="NZ51" t="inlineStr">
        <is>
          <t>07 3849 8020</t>
        </is>
      </c>
      <c r="OA51">
        <v>1</v>
      </c>
      <c r="OB51" t="inlineStr">
        <is>
          <t>Default Value</t>
        </is>
      </c>
      <c r="OH51" t="inlineStr" s="6">
        <f>HYPERLINK("https://metagenicsd365.crm6.dynamics.com/main.aspx?etn=transactioncurrency&amp;pagetype=entityrecord&amp;id=634a4df5-cc23-e811-a841-000d3ae0e65e","634a4df5-cc23-e811-a841-000d3ae0e65e")</f>
        <v>634a4df5-cc23-e811-a841-000d3ae0e65e</v>
      </c>
      <c r="OI51" t="inlineStr">
        <is>
          <t>Australian Dollar</t>
        </is>
      </c>
      <c r="OL51" t="inlineStr">
        <is>
          <t>0x000000003BEB1C48</t>
        </is>
      </c>
    </row>
  </sheetData>
</worksheet>
</file>